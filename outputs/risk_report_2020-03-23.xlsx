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Margin" sheetId="3" state="visible" r:id="rId3"/>
    <sheet xmlns:r="http://schemas.openxmlformats.org/officeDocument/2006/relationships" name="Stress" sheetId="4" state="visible" r:id="rId4"/>
    <sheet xmlns:r="http://schemas.openxmlformats.org/officeDocument/2006/relationships" name="VaR history" sheetId="5" state="visible" r:id="rId5"/>
    <sheet xmlns:r="http://schemas.openxmlformats.org/officeDocument/2006/relationships" name="Back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0.0%;[Red]-0.0%"/>
    <numFmt numFmtId="166" formatCode="#,##0.000"/>
    <numFmt numFmtId="167" formatCode="0.0&quot;x&quot;"/>
    <numFmt numFmtId="168" formatCode="yyyy-mm-dd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</font>
    <font>
      <b val="1"/>
      <color rgb="00FFFFFF"/>
    </font>
    <font>
      <b val="1"/>
    </font>
    <font>
      <b val="1"/>
      <color rgb="001F3A5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4" fontId="4" fillId="6" borderId="0" pivotButton="0" quotePrefix="0" xfId="0"/>
    <xf numFmtId="165" fontId="4" fillId="6" borderId="0" pivotButton="0" quotePrefix="0" xfId="0"/>
    <xf numFmtId="9" fontId="0" fillId="0" borderId="0" pivotButton="0" quotePrefix="0" xfId="0"/>
    <xf numFmtId="164" fontId="4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8" fontId="0" fillId="5" borderId="0" pivotButton="0" quotePrefix="0" xfId="0"/>
    <xf numFmtId="164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scenario P&amp;L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'Stress'!C4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'Stress'!$A$5:$A$10</f>
            </numRef>
          </cat>
          <val>
            <numRef>
              <f>'Stress'!$C$5:$C$10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loss vs 99% 1-day VaR</a:t>
            </a:r>
          </a:p>
        </rich>
      </tx>
    </title>
    <plotArea>
      <lineChart>
        <grouping val="standard"/>
        <ser>
          <idx val="0"/>
          <order val="0"/>
          <tx>
            <strRef>
              <f>'VaR history'!C4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history'!$C$5:$C$64</f>
            </numRef>
          </val>
        </ser>
        <ser>
          <idx val="1"/>
          <order val="1"/>
          <tx>
            <strRef>
              <f>'VaR history'!D4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history'!$D$5:$D$64</f>
            </numRef>
          </val>
        </ser>
        <ser>
          <idx val="2"/>
          <order val="2"/>
          <tx>
            <strRef>
              <f>'VaR history'!E4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history'!$E$5:$E$64</f>
            </numRef>
          </val>
        </ser>
        <ser>
          <idx val="3"/>
          <order val="3"/>
          <tx>
            <strRef>
              <f>'VaR history'!F4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history'!$F$5:$F$64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Daily Risk &amp; Margin Report</t>
        </is>
      </c>
    </row>
    <row r="2">
      <c r="A2" s="2" t="inlineStr">
        <is>
          <t>As of 2020-03-23  |  compared with 2020-03-20  |  99% confidence  |  all values in INR</t>
        </is>
      </c>
    </row>
    <row r="4">
      <c r="A4" s="3" t="inlineStr">
        <is>
          <t>Metric</t>
        </is>
      </c>
      <c r="B4" s="3" t="inlineStr">
        <is>
          <t>Previous (2020-03-20)</t>
        </is>
      </c>
      <c r="C4" s="3" t="inlineStr">
        <is>
          <t>Today (2020-03-23)</t>
        </is>
      </c>
      <c r="D4" s="3" t="inlineStr">
        <is>
          <t>Change</t>
        </is>
      </c>
      <c r="E4" s="3" t="inlineStr">
        <is>
          <t>% Change</t>
        </is>
      </c>
    </row>
    <row r="5">
      <c r="A5" s="4" t="inlineStr">
        <is>
          <t>Portfolio market value</t>
        </is>
      </c>
      <c r="B5" s="5" t="n">
        <v>1090348.050382641</v>
      </c>
      <c r="C5" s="5" t="n">
        <v>1000000</v>
      </c>
      <c r="D5" s="5">
        <f>C5-B5</f>
        <v/>
      </c>
      <c r="E5" s="6">
        <f>IF(OR(B5="",B5=0),"",D5/B5)</f>
        <v/>
      </c>
    </row>
    <row r="6">
      <c r="A6" s="4" t="inlineStr">
        <is>
          <t>1-day VaR, historical</t>
        </is>
      </c>
      <c r="B6" s="5" t="n">
        <v>28765.97153682127</v>
      </c>
      <c r="C6" s="5" t="n">
        <v>34675.13073365325</v>
      </c>
      <c r="D6" s="5">
        <f>C6-B6</f>
        <v/>
      </c>
      <c r="E6" s="6">
        <f>IF(OR(B6="",B6=0),"",D6/B6)</f>
        <v/>
      </c>
    </row>
    <row r="7">
      <c r="A7" s="4" t="inlineStr">
        <is>
          <t>1-day Expected Shortfall, historical</t>
        </is>
      </c>
      <c r="B7" s="5" t="n">
        <v>51213.90274942046</v>
      </c>
      <c r="C7" s="5" t="n">
        <v>54649.12234413016</v>
      </c>
      <c r="D7" s="5">
        <f>C7-B7</f>
        <v/>
      </c>
      <c r="E7" s="6">
        <f>IF(OR(B7="",B7=0),"",D7/B7)</f>
        <v/>
      </c>
    </row>
    <row r="8">
      <c r="A8" s="4" t="inlineStr">
        <is>
          <t>1-day VaR, parametric</t>
        </is>
      </c>
      <c r="B8" s="5" t="n">
        <v>22152.33535076351</v>
      </c>
      <c r="C8" s="5" t="n">
        <v>21532.06732562386</v>
      </c>
      <c r="D8" s="5">
        <f>C8-B8</f>
        <v/>
      </c>
      <c r="E8" s="6">
        <f>IF(OR(B8="",B8=0),"",D8/B8)</f>
        <v/>
      </c>
    </row>
    <row r="9">
      <c r="A9" s="4" t="inlineStr">
        <is>
          <t>1-day VaR, EWMA</t>
        </is>
      </c>
      <c r="B9" s="5" t="n">
        <v>67521.22524931018</v>
      </c>
      <c r="C9" s="5" t="n">
        <v>73912.81474261415</v>
      </c>
      <c r="D9" s="5">
        <f>C9-B9</f>
        <v/>
      </c>
      <c r="E9" s="6">
        <f>IF(OR(B9="",B9=0),"",D9/B9)</f>
        <v/>
      </c>
    </row>
    <row r="10">
      <c r="A10" s="4" t="inlineStr">
        <is>
          <t>VaR limit</t>
        </is>
      </c>
      <c r="B10" s="5" t="n">
        <v>25000</v>
      </c>
      <c r="C10" s="5" t="n">
        <v>25000</v>
      </c>
      <c r="D10" s="5">
        <f>C10-B10</f>
        <v/>
      </c>
      <c r="E10" s="6">
        <f>IF(OR(B10="",B10=0),"",D10/B10)</f>
        <v/>
      </c>
    </row>
    <row r="11">
      <c r="A11" s="7" t="inlineStr">
        <is>
          <t>VaR limit utilisation</t>
        </is>
      </c>
      <c r="B11" s="6">
        <f>B6/B10</f>
        <v/>
      </c>
      <c r="C11" s="6">
        <f>C6/C10</f>
        <v/>
      </c>
      <c r="D11" s="6">
        <f>C11-B11</f>
        <v/>
      </c>
      <c r="E11" s="6" t="inlineStr"/>
    </row>
    <row r="12">
      <c r="A12" s="4" t="inlineStr">
        <is>
          <t>Initial margin, recent calibration</t>
        </is>
      </c>
      <c r="B12" s="5" t="n">
        <v>150967.9990467423</v>
      </c>
      <c r="C12" s="5" t="n">
        <v>136971.9559425815</v>
      </c>
      <c r="D12" s="5">
        <f>C12-B12</f>
        <v/>
      </c>
      <c r="E12" s="6">
        <f>IF(OR(B12="",B12=0),"",D12/B12)</f>
        <v/>
      </c>
    </row>
    <row r="13">
      <c r="A13" s="4" t="inlineStr">
        <is>
          <t>Initial margin, stressed (2020)</t>
        </is>
      </c>
      <c r="B13" s="5" t="n">
        <v>209283.1010975522</v>
      </c>
      <c r="C13" s="5" t="n">
        <v>202762.2290356125</v>
      </c>
      <c r="D13" s="5">
        <f>C13-B13</f>
        <v/>
      </c>
      <c r="E13" s="6">
        <f>IF(OR(B13="",B13=0),"",D13/B13)</f>
        <v/>
      </c>
    </row>
    <row r="14">
      <c r="A14" s="7" t="inlineStr">
        <is>
          <t>Initial margin required (APC blend)</t>
        </is>
      </c>
      <c r="B14" s="5" t="n">
        <v>165546.7745594448</v>
      </c>
      <c r="C14" s="5" t="n">
        <v>153419.5242158393</v>
      </c>
      <c r="D14" s="5">
        <f>C14-B14</f>
        <v/>
      </c>
      <c r="E14" s="6">
        <f>IF(OR(B14="",B14=0),"",D14/B14)</f>
        <v/>
      </c>
    </row>
    <row r="15">
      <c r="A15" s="4" t="inlineStr">
        <is>
          <t>Collateral after haircuts</t>
        </is>
      </c>
      <c r="B15" s="5" t="n">
        <v>96033.90658093349</v>
      </c>
      <c r="C15" s="5" t="n">
        <v>94300</v>
      </c>
      <c r="D15" s="5">
        <f>C15-B15</f>
        <v/>
      </c>
      <c r="E15" s="6">
        <f>IF(OR(B15="",B15=0),"",D15/B15)</f>
        <v/>
      </c>
    </row>
    <row r="16">
      <c r="A16" s="7" t="inlineStr">
        <is>
          <t>Excess / (shortfall) collateral</t>
        </is>
      </c>
      <c r="B16" s="5">
        <f>B15-B14</f>
        <v/>
      </c>
      <c r="C16" s="5">
        <f>C15-C14</f>
        <v/>
      </c>
      <c r="D16" s="5">
        <f>C16-B16</f>
        <v/>
      </c>
      <c r="E16" s="6">
        <f>IF(OR(B16="",B16=0),"",D16/B16)</f>
        <v/>
      </c>
    </row>
    <row r="17">
      <c r="A17" s="8" t="inlineStr">
        <is>
          <t>Daily P&amp;L</t>
        </is>
      </c>
      <c r="C17" s="9">
        <f>Positions!I13</f>
        <v/>
      </c>
    </row>
    <row r="18">
      <c r="A18" s="8" t="inlineStr">
        <is>
          <t>VaR exceptions, last 250 days</t>
        </is>
      </c>
      <c r="C18" t="n">
        <v>9</v>
      </c>
      <c r="D18" s="10" t="inlineStr">
        <is>
          <t>YELLOW</t>
        </is>
      </c>
    </row>
    <row r="20">
      <c r="A20" s="11" t="inlineStr">
        <is>
          <t>Commentary</t>
        </is>
      </c>
    </row>
    <row r="21">
      <c r="A21" s="3" t="inlineStr">
        <is>
          <t>Status</t>
        </is>
      </c>
      <c r="B21" s="3" t="inlineStr">
        <is>
          <t>Comment</t>
        </is>
      </c>
    </row>
    <row r="22" ht="32" customHeight="1">
      <c r="A22" s="12" t="inlineStr">
        <is>
          <t>INFO</t>
        </is>
      </c>
      <c r="B22" s="13" t="inlineStr">
        <is>
          <t>Portfolio value Rs 1,000,000. Daily P&amp;L -Rs 90,348 (-8.3%), driven mainly by RELIANCE.NS (-Rs 30,292, -13.2%).</t>
        </is>
      </c>
    </row>
    <row r="23" ht="47" customHeight="1">
      <c r="A23" s="14" t="inlineStr">
        <is>
          <t>ALERT</t>
        </is>
      </c>
      <c r="B23" s="13" t="inlineStr">
        <is>
          <t>1-day 99% historical VaR up 20.5% to Rs 34,675 (139% of the Rs 25,000 limit). Largest change in VaR contribution: RELIANCE.NS (-Rs 744). LIMIT BREACH: escalate and consider reducing exposure.</t>
        </is>
      </c>
    </row>
    <row r="24" ht="32" customHeight="1">
      <c r="A24" s="15" t="inlineStr">
        <is>
          <t>WARNING</t>
        </is>
      </c>
      <c r="B24" s="13" t="inlineStr">
        <is>
          <t>EWMA VaR (Rs 73,913) is 113% above historical VaR: recent volatility is elevated, so the 2-year window may understate risk.</t>
        </is>
      </c>
    </row>
    <row r="25" ht="32" customHeight="1">
      <c r="A25" s="14" t="inlineStr">
        <is>
          <t>ALERT</t>
        </is>
      </c>
      <c r="B25" s="13" t="inlineStr">
        <is>
          <t>Initial margin requirement Rs 153,420 (-Rs 12,127 DoD); collateral after haircuts Rs 94,300 (-Rs 1,734 DoD). MARGIN CALL of Rs 59,120 to be issued to the client.</t>
        </is>
      </c>
    </row>
    <row r="26" ht="32" customHeight="1">
      <c r="A26" s="15" t="inlineStr">
        <is>
          <t>WARNING</t>
        </is>
      </c>
      <c r="B26" s="13" t="inlineStr">
        <is>
          <t>VaR EXCEPTION today: loss of Rs 90,348 exceeded yesterday's VaR of Rs 28,766. 9 exceptions in the last 250 days (YELLOW zone).</t>
        </is>
      </c>
    </row>
    <row r="27" ht="32" customHeight="1">
      <c r="A27" s="12" t="inlineStr">
        <is>
          <t>INFO</t>
        </is>
      </c>
      <c r="B27" s="13" t="inlineStr">
        <is>
          <t>Worst stress scenario: 2008-style crisis, loss Rs 279,500 (28.0%). Collateral covers 34% of it, leaving Rs 185,200 of uncollateralised stress exposure.</t>
        </is>
      </c>
    </row>
  </sheetData>
  <mergeCells count="7">
    <mergeCell ref="B23:E23"/>
    <mergeCell ref="B26:E26"/>
    <mergeCell ref="B27:E27"/>
    <mergeCell ref="B21:E21"/>
    <mergeCell ref="B25:E25"/>
    <mergeCell ref="B24:E24"/>
    <mergeCell ref="B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3" customWidth="1" min="4" max="4"/>
    <col width="13" customWidth="1" min="5" max="5"/>
    <col width="14" customWidth="1" min="6" max="6"/>
    <col width="9" customWidth="1" min="7" max="7"/>
    <col width="11" customWidth="1" min="8" max="8"/>
    <col width="13" customWidth="1" min="9" max="9"/>
    <col width="14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Positions, P&amp;L and VaR contribution</t>
        </is>
      </c>
    </row>
    <row r="2">
      <c r="A2" s="2" t="inlineStr">
        <is>
          <t>As of 2020-03-23  |  compared with 2020-03-20  |  99% confidence  |  all values in INR</t>
        </is>
      </c>
    </row>
    <row r="4">
      <c r="A4" s="3" t="inlineStr">
        <is>
          <t>Asset</t>
        </is>
      </c>
      <c r="B4" s="3" t="inlineStr">
        <is>
          <t>Class</t>
        </is>
      </c>
      <c r="C4" s="3" t="inlineStr">
        <is>
          <t>Units</t>
        </is>
      </c>
      <c r="D4" s="3" t="inlineStr">
        <is>
          <t>Price 2020-03-20</t>
        </is>
      </c>
      <c r="E4" s="3" t="inlineStr">
        <is>
          <t>Price 2020-03-23</t>
        </is>
      </c>
      <c r="F4" s="3" t="inlineStr">
        <is>
          <t>Market value</t>
        </is>
      </c>
      <c r="G4" s="3" t="inlineStr">
        <is>
          <t>Weight</t>
        </is>
      </c>
      <c r="H4" s="3" t="inlineStr">
        <is>
          <t>Daily return</t>
        </is>
      </c>
      <c r="I4" s="3" t="inlineStr">
        <is>
          <t>Daily P&amp;L</t>
        </is>
      </c>
      <c r="J4" s="3" t="inlineStr">
        <is>
          <t>Standalone VaR</t>
        </is>
      </c>
      <c r="K4" s="3" t="inlineStr">
        <is>
          <t>VaR contribution 2020-03-20</t>
        </is>
      </c>
      <c r="L4" s="3" t="inlineStr">
        <is>
          <t>VaR contribution 2020-03-23</t>
        </is>
      </c>
      <c r="M4" s="3" t="inlineStr">
        <is>
          <t>Change in contribution</t>
        </is>
      </c>
    </row>
    <row r="5">
      <c r="A5" t="inlineStr">
        <is>
          <t>RELIANCE.NS</t>
        </is>
      </c>
      <c r="B5" t="inlineStr">
        <is>
          <t>Equity</t>
        </is>
      </c>
      <c r="C5" s="16" t="n">
        <v>508.0495574683385</v>
      </c>
      <c r="D5" s="17" t="n">
        <v>453.2872924804688</v>
      </c>
      <c r="E5" s="17" t="n">
        <v>393.6623840332031</v>
      </c>
      <c r="F5" s="9">
        <f>C5*E5</f>
        <v/>
      </c>
      <c r="G5" s="18">
        <f>F5/$F$13</f>
        <v/>
      </c>
      <c r="H5" s="18">
        <f>E5/D5-1</f>
        <v/>
      </c>
      <c r="I5" s="9">
        <f>C5*(E5-D5)</f>
        <v/>
      </c>
      <c r="J5" s="9" t="n">
        <v>9492.716740913691</v>
      </c>
      <c r="K5" s="9" t="n">
        <v>8377.807995329706</v>
      </c>
      <c r="L5" s="9" t="n">
        <v>7634.19277371775</v>
      </c>
      <c r="M5" s="9">
        <f>L5-K5</f>
        <v/>
      </c>
    </row>
    <row r="6">
      <c r="A6" t="inlineStr">
        <is>
          <t>HDFCBANK.NS</t>
        </is>
      </c>
      <c r="B6" t="inlineStr">
        <is>
          <t>Equity</t>
        </is>
      </c>
      <c r="C6" s="16" t="n">
        <v>417.302429136186</v>
      </c>
      <c r="D6" s="17" t="n">
        <v>411.3042602539063</v>
      </c>
      <c r="E6" s="17" t="n">
        <v>359.4515380859375</v>
      </c>
      <c r="F6" s="9">
        <f>C6*E6</f>
        <v/>
      </c>
      <c r="G6" s="18">
        <f>F6/$F$13</f>
        <v/>
      </c>
      <c r="H6" s="18">
        <f>E6/D6-1</f>
        <v/>
      </c>
      <c r="I6" s="9">
        <f>C6*(E6-D6)</f>
        <v/>
      </c>
      <c r="J6" s="9" t="n">
        <v>5133.715782509526</v>
      </c>
      <c r="K6" s="9" t="n">
        <v>2992.986887320375</v>
      </c>
      <c r="L6" s="9" t="n">
        <v>3100.671272933031</v>
      </c>
      <c r="M6" s="9">
        <f>L6-K6</f>
        <v/>
      </c>
    </row>
    <row r="7">
      <c r="A7" t="inlineStr">
        <is>
          <t>TCS.NS</t>
        </is>
      </c>
      <c r="B7" t="inlineStr">
        <is>
          <t>Equity</t>
        </is>
      </c>
      <c r="C7" s="16" t="n">
        <v>105.3345864674545</v>
      </c>
      <c r="D7" s="17" t="n">
        <v>1532.987670898438</v>
      </c>
      <c r="E7" s="17" t="n">
        <v>1424.03369140625</v>
      </c>
      <c r="F7" s="9">
        <f>C7*E7</f>
        <v/>
      </c>
      <c r="G7" s="18">
        <f>F7/$F$13</f>
        <v/>
      </c>
      <c r="H7" s="18">
        <f>E7/D7-1</f>
        <v/>
      </c>
      <c r="I7" s="9">
        <f>C7*(E7-D7)</f>
        <v/>
      </c>
      <c r="J7" s="9" t="n">
        <v>5948.7663229673</v>
      </c>
      <c r="K7" s="9" t="n">
        <v>3894.079620203402</v>
      </c>
      <c r="L7" s="9" t="n">
        <v>3796.330166978715</v>
      </c>
      <c r="M7" s="9">
        <f>L7-K7</f>
        <v/>
      </c>
    </row>
    <row r="8">
      <c r="A8" t="inlineStr">
        <is>
          <t>INFY.NS</t>
        </is>
      </c>
      <c r="B8" t="inlineStr">
        <is>
          <t>Equity</t>
        </is>
      </c>
      <c r="C8" s="16" t="n">
        <v>225.8458865109257</v>
      </c>
      <c r="D8" s="17" t="n">
        <v>492.1925659179688</v>
      </c>
      <c r="E8" s="17" t="n">
        <v>442.7798156738281</v>
      </c>
      <c r="F8" s="9">
        <f>C8*E8</f>
        <v/>
      </c>
      <c r="G8" s="18">
        <f>F8/$F$13</f>
        <v/>
      </c>
      <c r="H8" s="18">
        <f>E8/D8-1</f>
        <v/>
      </c>
      <c r="I8" s="9">
        <f>C8*(E8-D8)</f>
        <v/>
      </c>
      <c r="J8" s="9" t="n">
        <v>4323.660619850465</v>
      </c>
      <c r="K8" s="9" t="n">
        <v>2643.202277225113</v>
      </c>
      <c r="L8" s="9" t="n">
        <v>2592.41665601475</v>
      </c>
      <c r="M8" s="9">
        <f>L8-K8</f>
        <v/>
      </c>
    </row>
    <row r="9">
      <c r="A9" t="inlineStr">
        <is>
          <t>NIFTYBEES.NS</t>
        </is>
      </c>
      <c r="B9" t="inlineStr">
        <is>
          <t>Equity</t>
        </is>
      </c>
      <c r="C9" s="16" t="n">
        <v>1795.977083680266</v>
      </c>
      <c r="D9" s="17" t="n">
        <v>92.97000122070312</v>
      </c>
      <c r="E9" s="17" t="n">
        <v>83.51999664306641</v>
      </c>
      <c r="F9" s="9">
        <f>C9*E9</f>
        <v/>
      </c>
      <c r="G9" s="18">
        <f>F9/$F$13</f>
        <v/>
      </c>
      <c r="H9" s="18">
        <f>E9/D9-1</f>
        <v/>
      </c>
      <c r="I9" s="9">
        <f>C9*(E9-D9)</f>
        <v/>
      </c>
      <c r="J9" s="9" t="n">
        <v>3913.765486323849</v>
      </c>
      <c r="K9" s="9" t="n">
        <v>3174.707142260757</v>
      </c>
      <c r="L9" s="9" t="n">
        <v>3196.982130609325</v>
      </c>
      <c r="M9" s="9">
        <f>L9-K9</f>
        <v/>
      </c>
    </row>
    <row r="10">
      <c r="A10" t="inlineStr">
        <is>
          <t>GOLDBEES.NS</t>
        </is>
      </c>
      <c r="B10" t="inlineStr">
        <is>
          <t>Gold</t>
        </is>
      </c>
      <c r="C10" s="16" t="n">
        <v>2855.51109916764</v>
      </c>
      <c r="D10" s="17" t="n">
        <v>36.11000061035156</v>
      </c>
      <c r="E10" s="17" t="n">
        <v>35.02000045776367</v>
      </c>
      <c r="F10" s="9">
        <f>C10*E10</f>
        <v/>
      </c>
      <c r="G10" s="18">
        <f>F10/$F$13</f>
        <v/>
      </c>
      <c r="H10" s="18">
        <f>E10/D10-1</f>
        <v/>
      </c>
      <c r="I10" s="9">
        <f>C10*(E10-D10)</f>
        <v/>
      </c>
      <c r="J10" s="9" t="n">
        <v>1913.442661541962</v>
      </c>
      <c r="K10" s="9" t="n">
        <v>45.3440819265684</v>
      </c>
      <c r="L10" s="9" t="n">
        <v>183.2531656396277</v>
      </c>
      <c r="M10" s="9">
        <f>L10-K10</f>
        <v/>
      </c>
    </row>
    <row r="11">
      <c r="A11" t="inlineStr">
        <is>
          <t>SETF10GILT.NS</t>
        </is>
      </c>
      <c r="B11" t="inlineStr">
        <is>
          <t>Bonds</t>
        </is>
      </c>
      <c r="C11" s="16" t="n">
        <v>526.7038853814677</v>
      </c>
      <c r="D11" s="17" t="n">
        <v>182.2700042724609</v>
      </c>
      <c r="E11" s="17" t="n">
        <v>189.8600006103516</v>
      </c>
      <c r="F11" s="9">
        <f>C11*E11</f>
        <v/>
      </c>
      <c r="G11" s="18">
        <f>F11/$F$13</f>
        <v/>
      </c>
      <c r="H11" s="18">
        <f>E11/D11-1</f>
        <v/>
      </c>
      <c r="I11" s="9">
        <f>C11*(E11-D11)</f>
        <v/>
      </c>
      <c r="J11" s="9" t="n">
        <v>5805.790434823496</v>
      </c>
      <c r="K11" s="9" t="n">
        <v>1036.444610068188</v>
      </c>
      <c r="L11" s="9" t="n">
        <v>1048.715837645443</v>
      </c>
      <c r="M11" s="9">
        <f>L11-K11</f>
        <v/>
      </c>
    </row>
    <row r="12">
      <c r="A12" t="inlineStr">
        <is>
          <t>INR=X</t>
        </is>
      </c>
      <c r="B12" t="inlineStr">
        <is>
          <t>FX</t>
        </is>
      </c>
      <c r="C12" s="16" t="n">
        <v>661.1823719675463</v>
      </c>
      <c r="D12" s="17" t="n">
        <v>75.15969848632812</v>
      </c>
      <c r="E12" s="17" t="n">
        <v>75.62210083007812</v>
      </c>
      <c r="F12" s="9">
        <f>C12*E12</f>
        <v/>
      </c>
      <c r="G12" s="18">
        <f>F12/$F$13</f>
        <v/>
      </c>
      <c r="H12" s="18">
        <f>E12/D12-1</f>
        <v/>
      </c>
      <c r="I12" s="9">
        <f>C12*(E12-D12)</f>
        <v/>
      </c>
      <c r="J12" s="9" t="n">
        <v>613.8215656560651</v>
      </c>
      <c r="K12" s="9" t="n">
        <v>-12.23726357059279</v>
      </c>
      <c r="L12" s="9" t="n">
        <v>-20.49467791478732</v>
      </c>
      <c r="M12" s="9">
        <f>L12-K12</f>
        <v/>
      </c>
    </row>
    <row r="13">
      <c r="A13" s="8" t="inlineStr">
        <is>
          <t>TOTAL</t>
        </is>
      </c>
      <c r="F13" s="19">
        <f>SUM(F5:F12)</f>
        <v/>
      </c>
      <c r="G13" s="20">
        <f>SUM(G5:G12)</f>
        <v/>
      </c>
      <c r="H13" s="20">
        <f>I13/SUMPRODUCT(C5:C12,D5:D12)</f>
        <v/>
      </c>
      <c r="I13" s="19">
        <f>SUM(I5:I12)</f>
        <v/>
      </c>
      <c r="J13" s="19">
        <f>SUM(J5:J12)</f>
        <v/>
      </c>
      <c r="K13" s="19">
        <f>SUM(K5:K12)</f>
        <v/>
      </c>
      <c r="L13" s="19">
        <f>SUM(L5:L12)</f>
        <v/>
      </c>
      <c r="M13" s="19">
        <f>SUM(M5:M12)</f>
        <v/>
      </c>
    </row>
    <row r="15">
      <c r="A15" t="inlineStr">
        <is>
          <t>Diversification benefit (standalone VaR sum - parametric VaR)</t>
        </is>
      </c>
      <c r="J15" s="9">
        <f>J13-L13</f>
        <v/>
      </c>
    </row>
    <row r="16">
      <c r="A16" s="2" t="inlineStr">
        <is>
          <t>VaR contributions are component VaRs: they add up to the parametric VaR. Positive change = asset added risk today.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14" customWidth="1" min="5" max="5"/>
    <col width="9" customWidth="1" min="6" max="6"/>
    <col width="18" customWidth="1" min="7" max="7"/>
  </cols>
  <sheetData>
    <row r="1">
      <c r="A1" s="1" t="inlineStr">
        <is>
          <t>Initial margin and collateral</t>
        </is>
      </c>
    </row>
    <row r="2">
      <c r="A2" s="2" t="inlineStr">
        <is>
          <t>As of 2020-03-23  |  compared with 2020-03-20  |  99% confidence  |  all values in INR</t>
        </is>
      </c>
    </row>
    <row r="4">
      <c r="A4" s="3" t="inlineStr">
        <is>
          <t>Initial margin (10-day MPOR)</t>
        </is>
      </c>
      <c r="B4" s="3" t="inlineStr">
        <is>
          <t>Previous (2020-03-20)</t>
        </is>
      </c>
      <c r="C4" s="3" t="inlineStr">
        <is>
          <t>Today (2020-03-23)</t>
        </is>
      </c>
      <c r="D4" s="3" t="inlineStr">
        <is>
          <t>Change</t>
        </is>
      </c>
    </row>
    <row r="5">
      <c r="A5" t="inlineStr">
        <is>
          <t>Recent (last 2y)</t>
        </is>
      </c>
      <c r="B5" s="9" t="n">
        <v>150967.9990467423</v>
      </c>
      <c r="C5" s="9" t="n">
        <v>136971.9559425815</v>
      </c>
      <c r="D5" s="9">
        <f>C5-B5</f>
        <v/>
      </c>
    </row>
    <row r="6">
      <c r="A6" t="inlineStr">
        <is>
          <t>Stressed (2020)</t>
        </is>
      </c>
      <c r="B6" s="9" t="n">
        <v>209283.1010975522</v>
      </c>
      <c r="C6" s="9" t="n">
        <v>202762.2290356125</v>
      </c>
      <c r="D6" s="9">
        <f>C6-B6</f>
        <v/>
      </c>
    </row>
    <row r="7">
      <c r="A7" t="inlineStr">
        <is>
          <t>APC blend (25% stressed)</t>
        </is>
      </c>
      <c r="B7" s="9" t="n">
        <v>165546.7745594448</v>
      </c>
      <c r="C7" s="9" t="n">
        <v>153419.5242158393</v>
      </c>
      <c r="D7" s="9">
        <f>C7-B7</f>
        <v/>
      </c>
    </row>
    <row r="8">
      <c r="A8" t="inlineStr">
        <is>
          <t>sqrt(10) x 1-day VaR (recent)</t>
        </is>
      </c>
      <c r="B8" s="9" t="n">
        <v>90965.98916392936</v>
      </c>
      <c r="C8" s="9" t="n">
        <v>109652.3912824497</v>
      </c>
      <c r="D8" s="9">
        <f>C8-B8</f>
        <v/>
      </c>
    </row>
    <row r="10">
      <c r="A10" s="3" t="inlineStr">
        <is>
          <t>IM by asset class (today)</t>
        </is>
      </c>
      <c r="B10" s="3" t="inlineStr">
        <is>
          <t>Standalone IM</t>
        </is>
      </c>
    </row>
    <row r="11">
      <c r="A11" t="inlineStr">
        <is>
          <t>Bonds</t>
        </is>
      </c>
      <c r="B11" s="9" t="n">
        <v>12405.9686705138</v>
      </c>
    </row>
    <row r="12">
      <c r="A12" t="inlineStr">
        <is>
          <t>Equity</t>
        </is>
      </c>
      <c r="B12" s="9" t="n">
        <v>139418.1559920076</v>
      </c>
    </row>
    <row r="13">
      <c r="A13" t="inlineStr">
        <is>
          <t>FX</t>
        </is>
      </c>
      <c r="B13" s="9" t="n">
        <v>1530.110762107077</v>
      </c>
    </row>
    <row r="14">
      <c r="A14" t="inlineStr">
        <is>
          <t>Gold</t>
        </is>
      </c>
      <c r="B14" s="9" t="n">
        <v>5074.30799383091</v>
      </c>
    </row>
    <row r="16">
      <c r="A16" s="3" t="inlineStr">
        <is>
          <t>Collateral (today)</t>
        </is>
      </c>
      <c r="B16" s="3" t="inlineStr">
        <is>
          <t>Price driver</t>
        </is>
      </c>
      <c r="C16" s="3" t="inlineStr">
        <is>
          <t>Units</t>
        </is>
      </c>
      <c r="D16" s="3" t="inlineStr">
        <is>
          <t>Price</t>
        </is>
      </c>
      <c r="E16" s="3" t="inlineStr">
        <is>
          <t>Market value</t>
        </is>
      </c>
      <c r="F16" s="3" t="inlineStr">
        <is>
          <t>Haircut</t>
        </is>
      </c>
      <c r="G16" s="3" t="inlineStr">
        <is>
          <t>Value after haircut</t>
        </is>
      </c>
    </row>
    <row r="17">
      <c r="A17" t="inlineStr">
        <is>
          <t>Cash (INR)</t>
        </is>
      </c>
      <c r="B17" t="inlineStr">
        <is>
          <t>-</t>
        </is>
      </c>
      <c r="E17" s="9" t="n">
        <v>40000</v>
      </c>
      <c r="F17" s="21" t="n">
        <v>0</v>
      </c>
      <c r="G17" s="9">
        <f>E17*(1-F17)</f>
        <v/>
      </c>
    </row>
    <row r="18">
      <c r="A18" t="inlineStr">
        <is>
          <t>Government bonds</t>
        </is>
      </c>
      <c r="B18" t="inlineStr">
        <is>
          <t>SETF10GILT.NS</t>
        </is>
      </c>
      <c r="C18" s="16" t="n">
        <v>158.0111656144403</v>
      </c>
      <c r="D18" s="17" t="n">
        <v>189.8600006103516</v>
      </c>
      <c r="E18" s="9">
        <f>C18*D18</f>
        <v/>
      </c>
      <c r="F18" s="21" t="n">
        <v>0.04</v>
      </c>
      <c r="G18" s="9">
        <f>E18*(1-F18)</f>
        <v/>
      </c>
    </row>
    <row r="19">
      <c r="A19" t="inlineStr">
        <is>
          <t>Nifty 50 ETF units</t>
        </is>
      </c>
      <c r="B19" t="inlineStr">
        <is>
          <t>NIFTYBEES.NS</t>
        </is>
      </c>
      <c r="C19" s="16" t="n">
        <v>359.1954167360532</v>
      </c>
      <c r="D19" s="17" t="n">
        <v>83.51999664306641</v>
      </c>
      <c r="E19" s="9">
        <f>C19*D19</f>
        <v/>
      </c>
      <c r="F19" s="21" t="n">
        <v>0.15</v>
      </c>
      <c r="G19" s="9">
        <f>E19*(1-F19)</f>
        <v/>
      </c>
    </row>
    <row r="20">
      <c r="A20" s="8" t="inlineStr">
        <is>
          <t>TOTAL</t>
        </is>
      </c>
      <c r="E20" s="22">
        <f>SUM(E17:E19)</f>
        <v/>
      </c>
      <c r="G20" s="22">
        <f>SUM(G17:G19)</f>
        <v/>
      </c>
    </row>
    <row r="22">
      <c r="A22" t="inlineStr">
        <is>
          <t>Initial margin required (APC blend)</t>
        </is>
      </c>
      <c r="G22" s="9">
        <f>C7</f>
        <v/>
      </c>
    </row>
    <row r="23">
      <c r="A23" s="8" t="inlineStr">
        <is>
          <t>Excess / (shortfall) collateral</t>
        </is>
      </c>
      <c r="G23" s="22">
        <f>G20-G22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Stress tests on today's portfolio</t>
        </is>
      </c>
    </row>
    <row r="2">
      <c r="A2" s="2" t="inlineStr">
        <is>
          <t>As of 2020-03-23  |  compared with 2020-03-20  |  99% confidence  |  all values in INR</t>
        </is>
      </c>
    </row>
    <row r="4">
      <c r="A4" s="3" t="inlineStr">
        <is>
          <t>Scenario</t>
        </is>
      </c>
      <c r="B4" s="3" t="inlineStr">
        <is>
          <t>Type</t>
        </is>
      </c>
      <c r="C4" s="3" t="inlineStr">
        <is>
          <t>P&amp;L</t>
        </is>
      </c>
      <c r="D4" s="3" t="inlineStr">
        <is>
          <t>% of portfolio</t>
        </is>
      </c>
      <c r="E4" s="3" t="inlineStr">
        <is>
          <t>x 1-day VaR</t>
        </is>
      </c>
      <c r="F4" s="3" t="inlineStr">
        <is>
          <t>Covered by collateral</t>
        </is>
      </c>
    </row>
    <row r="5">
      <c r="A5" t="inlineStr">
        <is>
          <t>2008-style crisis</t>
        </is>
      </c>
      <c r="B5" t="inlineStr">
        <is>
          <t>Hypothetical</t>
        </is>
      </c>
      <c r="C5" s="9" t="n">
        <v>-279500</v>
      </c>
      <c r="D5" s="18" t="n">
        <v>-0.2795</v>
      </c>
      <c r="E5" s="23">
        <f>IF(C5&lt;0,-C5/Summary!C6,0)</f>
        <v/>
      </c>
      <c r="F5" s="21">
        <f>IF(C5&lt;0,MIN(1,Summary!C15/-C5),"")</f>
        <v/>
      </c>
    </row>
    <row r="6">
      <c r="A6" t="inlineStr">
        <is>
          <t>COVID-19 crash (Feb-Mar 2020)</t>
        </is>
      </c>
      <c r="B6" t="inlineStr">
        <is>
          <t>Historical</t>
        </is>
      </c>
      <c r="C6" s="9" t="n">
        <v>-262425.7884731939</v>
      </c>
      <c r="D6" s="18" t="n">
        <v>-0.2624257884731939</v>
      </c>
      <c r="E6" s="23">
        <f>IF(C6&lt;0,-C6/Summary!C6,0)</f>
        <v/>
      </c>
      <c r="F6" s="21">
        <f>IF(C6&lt;0,MIN(1,Summary!C15/-C6),"")</f>
        <v/>
      </c>
    </row>
    <row r="7">
      <c r="A7" t="inlineStr">
        <is>
          <t>Equity crash -20%</t>
        </is>
      </c>
      <c r="B7" t="inlineStr">
        <is>
          <t>Hypothetical</t>
        </is>
      </c>
      <c r="C7" s="9" t="n">
        <v>-140500</v>
      </c>
      <c r="D7" s="18" t="n">
        <v>-0.1405</v>
      </c>
      <c r="E7" s="23">
        <f>IF(C7&lt;0,-C7/Summary!C6,0)</f>
        <v/>
      </c>
      <c r="F7" s="21">
        <f>IF(C7&lt;0,MIN(1,Summary!C15/-C7),"")</f>
        <v/>
      </c>
    </row>
    <row r="8">
      <c r="A8" t="inlineStr">
        <is>
          <t>Hedges fail (everything falls)</t>
        </is>
      </c>
      <c r="B8" t="inlineStr">
        <is>
          <t>Hypothetical</t>
        </is>
      </c>
      <c r="C8" s="9" t="n">
        <v>-130000</v>
      </c>
      <c r="D8" s="18" t="n">
        <v>-0.13</v>
      </c>
      <c r="E8" s="23">
        <f>IF(C8&lt;0,-C8/Summary!C6,0)</f>
        <v/>
      </c>
      <c r="F8" s="21">
        <f>IF(C8&lt;0,MIN(1,Summary!C15/-C8),"")</f>
        <v/>
      </c>
    </row>
    <row r="9">
      <c r="A9" t="inlineStr">
        <is>
          <t>Rate shock (+150bp yields)</t>
        </is>
      </c>
      <c r="B9" t="inlineStr">
        <is>
          <t>Hypothetical</t>
        </is>
      </c>
      <c r="C9" s="9" t="n">
        <v>-88500</v>
      </c>
      <c r="D9" s="18" t="n">
        <v>-0.0885</v>
      </c>
      <c r="E9" s="23">
        <f>IF(C9&lt;0,-C9/Summary!C6,0)</f>
        <v/>
      </c>
      <c r="F9" s="21">
        <f>IF(C9&lt;0,MIN(1,Summary!C15/-C9),"")</f>
        <v/>
      </c>
    </row>
    <row r="10">
      <c r="A10" t="inlineStr">
        <is>
          <t>IL&amp;FS crisis (Aug-Oct 2018)</t>
        </is>
      </c>
      <c r="B10" t="inlineStr">
        <is>
          <t>Historical</t>
        </is>
      </c>
      <c r="C10" s="9" t="n">
        <v>-87264.5667728953</v>
      </c>
      <c r="D10" s="18" t="n">
        <v>-0.08726456677289529</v>
      </c>
      <c r="E10" s="23">
        <f>IF(C10&lt;0,-C10/Summary!C6,0)</f>
        <v/>
      </c>
      <c r="F10" s="21">
        <f>IF(C10&lt;0,MIN(1,Summary!C15/-C10),"")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5" customWidth="1" min="5" max="5"/>
    <col width="13" customWidth="1" min="6" max="6"/>
    <col width="10" customWidth="1" min="7" max="7"/>
  </cols>
  <sheetData>
    <row r="1">
      <c r="A1" s="1" t="inlineStr">
        <is>
          <t>VaR vs actual P&amp;L, last 60 days</t>
        </is>
      </c>
    </row>
    <row r="2">
      <c r="A2" s="2" t="inlineStr">
        <is>
          <t>As of 2020-03-23  |  compared with 2020-03-20  |  99% confidence  |  all values in INR</t>
        </is>
      </c>
    </row>
    <row r="4">
      <c r="A4" s="3" t="inlineStr">
        <is>
          <t>Date</t>
        </is>
      </c>
      <c r="B4" s="3" t="inlineStr">
        <is>
          <t>Actual P&amp;L</t>
        </is>
      </c>
      <c r="C4" s="3" t="inlineStr">
        <is>
          <t>Loss</t>
        </is>
      </c>
      <c r="D4" s="3" t="inlineStr">
        <is>
          <t>Historical VaR</t>
        </is>
      </c>
      <c r="E4" s="3" t="inlineStr">
        <is>
          <t>Parametric VaR</t>
        </is>
      </c>
      <c r="F4" s="3" t="inlineStr">
        <is>
          <t>EWMA VaR</t>
        </is>
      </c>
      <c r="G4" s="3" t="inlineStr">
        <is>
          <t>Exception</t>
        </is>
      </c>
    </row>
    <row r="5">
      <c r="A5" s="24" t="n">
        <v>43826</v>
      </c>
      <c r="B5" s="9" t="n">
        <v>-567.55375876219</v>
      </c>
      <c r="C5" s="9">
        <f>MAX(0,-B5)</f>
        <v/>
      </c>
      <c r="D5" s="9" t="n">
        <v>14908.7019843634</v>
      </c>
      <c r="E5" s="9" t="n">
        <v>15385.84693819048</v>
      </c>
      <c r="F5" s="9" t="n">
        <v>11333.47354225521</v>
      </c>
      <c r="G5">
        <f>IF(C5&gt;D5,"YES","")</f>
        <v/>
      </c>
    </row>
    <row r="6">
      <c r="A6" s="24" t="n">
        <v>43829</v>
      </c>
      <c r="B6" s="9" t="n">
        <v>746.1838500468274</v>
      </c>
      <c r="C6" s="9">
        <f>MAX(0,-B6)</f>
        <v/>
      </c>
      <c r="D6" s="9" t="n">
        <v>14908.7019843634</v>
      </c>
      <c r="E6" s="9" t="n">
        <v>15383.92780004773</v>
      </c>
      <c r="F6" s="9" t="n">
        <v>10992.96871005741</v>
      </c>
      <c r="G6">
        <f>IF(C6&gt;D6,"YES","")</f>
        <v/>
      </c>
    </row>
    <row r="7">
      <c r="A7" s="24" t="n">
        <v>43830</v>
      </c>
      <c r="B7" s="9" t="n">
        <v>-11912.33544519284</v>
      </c>
      <c r="C7" s="9">
        <f>MAX(0,-B7)</f>
        <v/>
      </c>
      <c r="D7" s="9" t="n">
        <v>14908.7019843634</v>
      </c>
      <c r="E7" s="9" t="n">
        <v>15369.20335329395</v>
      </c>
      <c r="F7" s="9" t="n">
        <v>10666.55693410369</v>
      </c>
      <c r="G7">
        <f>IF(C7&gt;D7,"YES","")</f>
        <v/>
      </c>
    </row>
    <row r="8">
      <c r="A8" s="24" t="n">
        <v>43831</v>
      </c>
      <c r="B8" s="9" t="n">
        <v>1366.193611485028</v>
      </c>
      <c r="C8" s="9">
        <f>MAX(0,-B8)</f>
        <v/>
      </c>
      <c r="D8" s="9" t="n">
        <v>14908.7019843634</v>
      </c>
      <c r="E8" s="9" t="n">
        <v>15425.69858226229</v>
      </c>
      <c r="F8" s="9" t="n">
        <v>12370.40795029402</v>
      </c>
      <c r="G8">
        <f>IF(C8&gt;D8,"YES","")</f>
        <v/>
      </c>
    </row>
    <row r="9">
      <c r="A9" s="24" t="n">
        <v>43832</v>
      </c>
      <c r="B9" s="9" t="n">
        <v>6354.816859710504</v>
      </c>
      <c r="C9" s="9">
        <f>MAX(0,-B9)</f>
        <v/>
      </c>
      <c r="D9" s="9" t="n">
        <v>14908.7019843634</v>
      </c>
      <c r="E9" s="9" t="n">
        <v>15425.7952966536</v>
      </c>
      <c r="F9" s="9" t="n">
        <v>12018.79554975245</v>
      </c>
      <c r="G9">
        <f>IF(C9&gt;D9,"YES","")</f>
        <v/>
      </c>
    </row>
    <row r="10">
      <c r="A10" s="24" t="n">
        <v>43833</v>
      </c>
      <c r="B10" s="9" t="n">
        <v>2844.002265141743</v>
      </c>
      <c r="C10" s="9">
        <f>MAX(0,-B10)</f>
        <v/>
      </c>
      <c r="D10" s="9" t="n">
        <v>14908.7019843634</v>
      </c>
      <c r="E10" s="9" t="n">
        <v>15433.60625667919</v>
      </c>
      <c r="F10" s="9" t="n">
        <v>12202.35625101905</v>
      </c>
      <c r="G10">
        <f>IF(C10&gt;D10,"YES","")</f>
        <v/>
      </c>
    </row>
    <row r="11">
      <c r="A11" s="24" t="n">
        <v>43836</v>
      </c>
      <c r="B11" s="9" t="n">
        <v>-10184.97960647864</v>
      </c>
      <c r="C11" s="9">
        <f>MAX(0,-B11)</f>
        <v/>
      </c>
      <c r="D11" s="9" t="n">
        <v>14908.7019843634</v>
      </c>
      <c r="E11" s="9" t="n">
        <v>15433.75905029702</v>
      </c>
      <c r="F11" s="9" t="n">
        <v>11941.10738621523</v>
      </c>
      <c r="G11">
        <f>IF(C11&gt;D11,"YES","")</f>
        <v/>
      </c>
    </row>
    <row r="12">
      <c r="A12" s="24" t="n">
        <v>43837</v>
      </c>
      <c r="B12" s="9" t="n">
        <v>3758.867381471343</v>
      </c>
      <c r="C12" s="9">
        <f>MAX(0,-B12)</f>
        <v/>
      </c>
      <c r="D12" s="9" t="n">
        <v>14908.7019843634</v>
      </c>
      <c r="E12" s="9" t="n">
        <v>15476.0372526905</v>
      </c>
      <c r="F12" s="9" t="n">
        <v>12950.61498372505</v>
      </c>
      <c r="G12">
        <f>IF(C12&gt;D12,"YES","")</f>
        <v/>
      </c>
    </row>
    <row r="13">
      <c r="A13" s="24" t="n">
        <v>43838</v>
      </c>
      <c r="B13" s="9" t="n">
        <v>5141.292656153346</v>
      </c>
      <c r="C13" s="9">
        <f>MAX(0,-B13)</f>
        <v/>
      </c>
      <c r="D13" s="9" t="n">
        <v>14908.7019843634</v>
      </c>
      <c r="E13" s="9" t="n">
        <v>15477.31485982875</v>
      </c>
      <c r="F13" s="9" t="n">
        <v>12737.47343107922</v>
      </c>
      <c r="G13">
        <f>IF(C13&gt;D13,"YES","")</f>
        <v/>
      </c>
    </row>
    <row r="14">
      <c r="A14" s="24" t="n">
        <v>43839</v>
      </c>
      <c r="B14" s="9" t="n">
        <v>3625.435950298368</v>
      </c>
      <c r="C14" s="9">
        <f>MAX(0,-B14)</f>
        <v/>
      </c>
      <c r="D14" s="9" t="n">
        <v>14908.7019843634</v>
      </c>
      <c r="E14" s="9" t="n">
        <v>15483.46139494172</v>
      </c>
      <c r="F14" s="9" t="n">
        <v>12692.192730631</v>
      </c>
      <c r="G14">
        <f>IF(C14&gt;D14,"YES","")</f>
        <v/>
      </c>
    </row>
    <row r="15">
      <c r="A15" s="24" t="n">
        <v>43840</v>
      </c>
      <c r="B15" s="9" t="n">
        <v>-1395.905296286043</v>
      </c>
      <c r="C15" s="9">
        <f>MAX(0,-B15)</f>
        <v/>
      </c>
      <c r="D15" s="9" t="n">
        <v>14908.7019843634</v>
      </c>
      <c r="E15" s="9" t="n">
        <v>15469.09046416458</v>
      </c>
      <c r="F15" s="9" t="n">
        <v>12477.7489080716</v>
      </c>
      <c r="G15">
        <f>IF(C15&gt;D15,"YES","")</f>
        <v/>
      </c>
    </row>
    <row r="16">
      <c r="A16" s="24" t="n">
        <v>43843</v>
      </c>
      <c r="B16" s="9" t="n">
        <v>6961.261162749161</v>
      </c>
      <c r="C16" s="9">
        <f>MAX(0,-B16)</f>
        <v/>
      </c>
      <c r="D16" s="9" t="n">
        <v>14908.7019843634</v>
      </c>
      <c r="E16" s="9" t="n">
        <v>15470.61501952571</v>
      </c>
      <c r="F16" s="9" t="n">
        <v>12123.74884579991</v>
      </c>
      <c r="G16">
        <f>IF(C16&gt;D16,"YES","")</f>
        <v/>
      </c>
    </row>
    <row r="17">
      <c r="A17" s="24" t="n">
        <v>43844</v>
      </c>
      <c r="B17" s="9" t="n">
        <v>-1277.748079735446</v>
      </c>
      <c r="C17" s="9">
        <f>MAX(0,-B17)</f>
        <v/>
      </c>
      <c r="D17" s="9" t="n">
        <v>14908.7019843634</v>
      </c>
      <c r="E17" s="9" t="n">
        <v>15477.37147843112</v>
      </c>
      <c r="F17" s="9" t="n">
        <v>12405.70511570353</v>
      </c>
      <c r="G17">
        <f>IF(C17&gt;D17,"YES","")</f>
        <v/>
      </c>
    </row>
    <row r="18">
      <c r="A18" s="24" t="n">
        <v>43845</v>
      </c>
      <c r="B18" s="9" t="n">
        <v>-1483.283633303934</v>
      </c>
      <c r="C18" s="9">
        <f>MAX(0,-B18)</f>
        <v/>
      </c>
      <c r="D18" s="9" t="n">
        <v>14908.7019843634</v>
      </c>
      <c r="E18" s="9" t="n">
        <v>15477.78928904912</v>
      </c>
      <c r="F18" s="9" t="n">
        <v>12049.79538509172</v>
      </c>
      <c r="G18">
        <f>IF(C18&gt;D18,"YES","")</f>
        <v/>
      </c>
    </row>
    <row r="19">
      <c r="A19" s="24" t="n">
        <v>43846</v>
      </c>
      <c r="B19" s="9" t="n">
        <v>6428.535139033808</v>
      </c>
      <c r="C19" s="9">
        <f>MAX(0,-B19)</f>
        <v/>
      </c>
      <c r="D19" s="9" t="n">
        <v>14908.7019843634</v>
      </c>
      <c r="E19" s="9" t="n">
        <v>15477.25032939894</v>
      </c>
      <c r="F19" s="9" t="n">
        <v>11713.24579611779</v>
      </c>
      <c r="G19">
        <f>IF(C19&gt;D19,"YES","")</f>
        <v/>
      </c>
    </row>
    <row r="20">
      <c r="A20" s="24" t="n">
        <v>43847</v>
      </c>
      <c r="B20" s="9" t="n">
        <v>-230.3866438588207</v>
      </c>
      <c r="C20" s="9">
        <f>MAX(0,-B20)</f>
        <v/>
      </c>
      <c r="D20" s="9" t="n">
        <v>14908.7019843634</v>
      </c>
      <c r="E20" s="9" t="n">
        <v>15479.28643832667</v>
      </c>
      <c r="F20" s="9" t="n">
        <v>11932.61317581222</v>
      </c>
      <c r="G20">
        <f>IF(C20&gt;D20,"YES","")</f>
        <v/>
      </c>
    </row>
    <row r="21">
      <c r="A21" s="24" t="n">
        <v>43850</v>
      </c>
      <c r="B21" s="9" t="n">
        <v>-12848.2731311689</v>
      </c>
      <c r="C21" s="9">
        <f>MAX(0,-B21)</f>
        <v/>
      </c>
      <c r="D21" s="9" t="n">
        <v>14908.7019843634</v>
      </c>
      <c r="E21" s="9" t="n">
        <v>15476.72288516437</v>
      </c>
      <c r="F21" s="9" t="n">
        <v>11569.8425626778</v>
      </c>
      <c r="G21">
        <f>IF(C21&gt;D21,"YES","")</f>
        <v/>
      </c>
    </row>
    <row r="22">
      <c r="A22" s="24" t="n">
        <v>43851</v>
      </c>
      <c r="B22" s="9" t="n">
        <v>775.723530754763</v>
      </c>
      <c r="C22" s="9">
        <f>MAX(0,-B22)</f>
        <v/>
      </c>
      <c r="D22" s="9" t="n">
        <v>14908.7019843634</v>
      </c>
      <c r="E22" s="9" t="n">
        <v>15540.65381311076</v>
      </c>
      <c r="F22" s="9" t="n">
        <v>13395.24929985319</v>
      </c>
      <c r="G22">
        <f>IF(C22&gt;D22,"YES","")</f>
        <v/>
      </c>
    </row>
    <row r="23">
      <c r="A23" s="24" t="n">
        <v>43852</v>
      </c>
      <c r="B23" s="9" t="n">
        <v>2377.038263696257</v>
      </c>
      <c r="C23" s="9">
        <f>MAX(0,-B23)</f>
        <v/>
      </c>
      <c r="D23" s="9" t="n">
        <v>14908.7019843634</v>
      </c>
      <c r="E23" s="9" t="n">
        <v>15539.36490465884</v>
      </c>
      <c r="F23" s="9" t="n">
        <v>12994.69649703108</v>
      </c>
      <c r="G23">
        <f>IF(C23&gt;D23,"YES","")</f>
        <v/>
      </c>
    </row>
    <row r="24">
      <c r="A24" s="24" t="n">
        <v>43853</v>
      </c>
      <c r="B24" s="9" t="n">
        <v>1055.479627432904</v>
      </c>
      <c r="C24" s="9">
        <f>MAX(0,-B24)</f>
        <v/>
      </c>
      <c r="D24" s="9" t="n">
        <v>14908.7019843634</v>
      </c>
      <c r="E24" s="9" t="n">
        <v>15538.07398337124</v>
      </c>
      <c r="F24" s="9" t="n">
        <v>12671.43014796903</v>
      </c>
      <c r="G24">
        <f>IF(C24&gt;D24,"YES","")</f>
        <v/>
      </c>
    </row>
    <row r="25">
      <c r="A25" s="24" t="n">
        <v>43854</v>
      </c>
      <c r="B25" s="9" t="n">
        <v>-236.365413964268</v>
      </c>
      <c r="C25" s="9">
        <f>MAX(0,-B25)</f>
        <v/>
      </c>
      <c r="D25" s="9" t="n">
        <v>14908.7019843634</v>
      </c>
      <c r="E25" s="9" t="n">
        <v>15533.9796424562</v>
      </c>
      <c r="F25" s="9" t="n">
        <v>12300.12099910202</v>
      </c>
      <c r="G25">
        <f>IF(C25&gt;D25,"YES","")</f>
        <v/>
      </c>
    </row>
    <row r="26">
      <c r="A26" s="24" t="n">
        <v>43857</v>
      </c>
      <c r="B26" s="9" t="n">
        <v>-7633.398053830482</v>
      </c>
      <c r="C26" s="9">
        <f>MAX(0,-B26)</f>
        <v/>
      </c>
      <c r="D26" s="9" t="n">
        <v>14908.7019843634</v>
      </c>
      <c r="E26" s="9" t="n">
        <v>15531.06275141994</v>
      </c>
      <c r="F26" s="9" t="n">
        <v>11926.17035337857</v>
      </c>
      <c r="G26">
        <f>IF(C26&gt;D26,"YES","")</f>
        <v/>
      </c>
    </row>
    <row r="27">
      <c r="A27" s="24" t="n">
        <v>43858</v>
      </c>
      <c r="B27" s="9" t="n">
        <v>-3409.704582426182</v>
      </c>
      <c r="C27" s="9">
        <f>MAX(0,-B27)</f>
        <v/>
      </c>
      <c r="D27" s="9" t="n">
        <v>14908.7019843634</v>
      </c>
      <c r="E27" s="9" t="n">
        <v>15540.39026289744</v>
      </c>
      <c r="F27" s="9" t="n">
        <v>12353.95448849647</v>
      </c>
      <c r="G27">
        <f>IF(C27&gt;D27,"YES","")</f>
        <v/>
      </c>
    </row>
    <row r="28">
      <c r="A28" s="24" t="n">
        <v>43859</v>
      </c>
      <c r="B28" s="9" t="n">
        <v>-134.6050484660855</v>
      </c>
      <c r="C28" s="9">
        <f>MAX(0,-B28)</f>
        <v/>
      </c>
      <c r="D28" s="9" t="n">
        <v>14908.7019843634</v>
      </c>
      <c r="E28" s="9" t="n">
        <v>15545.80473360905</v>
      </c>
      <c r="F28" s="9" t="n">
        <v>12134.17194553519</v>
      </c>
      <c r="G28">
        <f>IF(C28&gt;D28,"YES","")</f>
        <v/>
      </c>
    </row>
    <row r="29">
      <c r="A29" s="24" t="n">
        <v>43860</v>
      </c>
      <c r="B29" s="9" t="n">
        <v>-9652.563492454519</v>
      </c>
      <c r="C29" s="9">
        <f>MAX(0,-B29)</f>
        <v/>
      </c>
      <c r="D29" s="9" t="n">
        <v>14908.7019843634</v>
      </c>
      <c r="E29" s="9" t="n">
        <v>15545.37503498414</v>
      </c>
      <c r="F29" s="9" t="n">
        <v>11764.76622829083</v>
      </c>
      <c r="G29">
        <f>IF(C29&gt;D29,"YES","")</f>
        <v/>
      </c>
    </row>
    <row r="30">
      <c r="A30" s="24" t="n">
        <v>43861</v>
      </c>
      <c r="B30" s="9" t="n">
        <v>-9853.014116765453</v>
      </c>
      <c r="C30" s="9">
        <f>MAX(0,-B30)</f>
        <v/>
      </c>
      <c r="D30" s="9" t="n">
        <v>14908.7019843634</v>
      </c>
      <c r="E30" s="9" t="n">
        <v>15581.72310289471</v>
      </c>
      <c r="F30" s="9" t="n">
        <v>12663.30749705943</v>
      </c>
      <c r="G30">
        <f>IF(C30&gt;D30,"YES","")</f>
        <v/>
      </c>
    </row>
    <row r="31">
      <c r="A31" s="24" t="n">
        <v>43864</v>
      </c>
      <c r="B31" s="9" t="n">
        <v>-6583.251277597546</v>
      </c>
      <c r="C31" s="9">
        <f>MAX(0,-B31)</f>
        <v/>
      </c>
      <c r="D31" s="9" t="n">
        <v>14908.7019843634</v>
      </c>
      <c r="E31" s="9" t="n">
        <v>15618.05321273953</v>
      </c>
      <c r="F31" s="9" t="n">
        <v>13500.43002411404</v>
      </c>
      <c r="G31">
        <f>IF(C31&gt;D31,"YES","")</f>
        <v/>
      </c>
    </row>
    <row r="32">
      <c r="A32" s="24" t="n">
        <v>43865</v>
      </c>
      <c r="B32" s="9" t="n">
        <v>15358.87471434937</v>
      </c>
      <c r="C32" s="9">
        <f>MAX(0,-B32)</f>
        <v/>
      </c>
      <c r="D32" s="9" t="n">
        <v>14908.7019843634</v>
      </c>
      <c r="E32" s="9" t="n">
        <v>15628.95496668071</v>
      </c>
      <c r="F32" s="9" t="n">
        <v>13616.12073404045</v>
      </c>
      <c r="G32">
        <f>IF(C32&gt;D32,"YES","")</f>
        <v/>
      </c>
    </row>
    <row r="33">
      <c r="A33" s="24" t="n">
        <v>43866</v>
      </c>
      <c r="B33" s="9" t="n">
        <v>4572.554911700349</v>
      </c>
      <c r="C33" s="9">
        <f>MAX(0,-B33)</f>
        <v/>
      </c>
      <c r="D33" s="9" t="n">
        <v>14908.7019843634</v>
      </c>
      <c r="E33" s="9" t="n">
        <v>15698.48650196055</v>
      </c>
      <c r="F33" s="9" t="n">
        <v>15838.97597613053</v>
      </c>
      <c r="G33">
        <f>IF(C33&gt;D33,"YES","")</f>
        <v/>
      </c>
    </row>
    <row r="34">
      <c r="A34" s="24" t="n">
        <v>43867</v>
      </c>
      <c r="B34" s="9" t="n">
        <v>-225.9621855893733</v>
      </c>
      <c r="C34" s="9">
        <f>MAX(0,-B34)</f>
        <v/>
      </c>
      <c r="D34" s="9" t="n">
        <v>14908.7019843634</v>
      </c>
      <c r="E34" s="9" t="n">
        <v>15691.79178040904</v>
      </c>
      <c r="F34" s="9" t="n">
        <v>15575.94194944998</v>
      </c>
      <c r="G34">
        <f>IF(C34&gt;D34,"YES","")</f>
        <v/>
      </c>
    </row>
    <row r="35">
      <c r="A35" s="24" t="n">
        <v>43868</v>
      </c>
      <c r="B35" s="9" t="n">
        <v>1240.570679400843</v>
      </c>
      <c r="C35" s="9">
        <f>MAX(0,-B35)</f>
        <v/>
      </c>
      <c r="D35" s="9" t="n">
        <v>14908.7019843634</v>
      </c>
      <c r="E35" s="9" t="n">
        <v>15573.95914335721</v>
      </c>
      <c r="F35" s="9" t="n">
        <v>15101.98493846079</v>
      </c>
      <c r="G35">
        <f>IF(C35&gt;D35,"YES","")</f>
        <v/>
      </c>
    </row>
    <row r="36">
      <c r="A36" s="24" t="n">
        <v>43871</v>
      </c>
      <c r="B36" s="9" t="n">
        <v>1702.846462224539</v>
      </c>
      <c r="C36" s="9">
        <f>MAX(0,-B36)</f>
        <v/>
      </c>
      <c r="D36" s="9" t="n">
        <v>14908.7019843634</v>
      </c>
      <c r="E36" s="9" t="n">
        <v>15566.59064746097</v>
      </c>
      <c r="F36" s="9" t="n">
        <v>14658.97307239978</v>
      </c>
      <c r="G36">
        <f>IF(C36&gt;D36,"YES","")</f>
        <v/>
      </c>
    </row>
    <row r="37">
      <c r="A37" s="24" t="n">
        <v>43872</v>
      </c>
      <c r="B37" s="9" t="n">
        <v>266.1272275240102</v>
      </c>
      <c r="C37" s="9">
        <f>MAX(0,-B37)</f>
        <v/>
      </c>
      <c r="D37" s="9" t="n">
        <v>14908.7019843634</v>
      </c>
      <c r="E37" s="9" t="n">
        <v>15566.57816223175</v>
      </c>
      <c r="F37" s="9" t="n">
        <v>14245.48804850201</v>
      </c>
      <c r="G37">
        <f>IF(C37&gt;D37,"YES","")</f>
        <v/>
      </c>
    </row>
    <row r="38">
      <c r="A38" s="24" t="n">
        <v>43873</v>
      </c>
      <c r="B38" s="9" t="n">
        <v>8683.802246658557</v>
      </c>
      <c r="C38" s="9">
        <f>MAX(0,-B38)</f>
        <v/>
      </c>
      <c r="D38" s="9" t="n">
        <v>14908.7019843634</v>
      </c>
      <c r="E38" s="9" t="n">
        <v>15564.31772031051</v>
      </c>
      <c r="F38" s="9" t="n">
        <v>13812.34561467635</v>
      </c>
      <c r="G38">
        <f>IF(C38&gt;D38,"YES","")</f>
        <v/>
      </c>
    </row>
    <row r="39">
      <c r="A39" s="24" t="n">
        <v>43874</v>
      </c>
      <c r="B39" s="9" t="n">
        <v>3109.559227750319</v>
      </c>
      <c r="C39" s="9">
        <f>MAX(0,-B39)</f>
        <v/>
      </c>
      <c r="D39" s="9" t="n">
        <v>14908.7019843634</v>
      </c>
      <c r="E39" s="9" t="n">
        <v>15576.10369152867</v>
      </c>
      <c r="F39" s="9" t="n">
        <v>14276.56061050595</v>
      </c>
      <c r="G39">
        <f>IF(C39&gt;D39,"YES","")</f>
        <v/>
      </c>
    </row>
    <row r="40">
      <c r="A40" s="24" t="n">
        <v>43875</v>
      </c>
      <c r="B40" s="9" t="n">
        <v>-2805.598274220389</v>
      </c>
      <c r="C40" s="9">
        <f>MAX(0,-B40)</f>
        <v/>
      </c>
      <c r="D40" s="9" t="n">
        <v>14908.7019843634</v>
      </c>
      <c r="E40" s="9" t="n">
        <v>15554.70780757087</v>
      </c>
      <c r="F40" s="9" t="n">
        <v>13954.59582962245</v>
      </c>
      <c r="G40">
        <f>IF(C40&gt;D40,"YES","")</f>
        <v/>
      </c>
    </row>
    <row r="41">
      <c r="A41" s="24" t="n">
        <v>43878</v>
      </c>
      <c r="B41" s="9" t="n">
        <v>-277.9758709453627</v>
      </c>
      <c r="C41" s="9">
        <f>MAX(0,-B41)</f>
        <v/>
      </c>
      <c r="D41" s="9" t="n">
        <v>14908.7019843634</v>
      </c>
      <c r="E41" s="9" t="n">
        <v>15557.99342240251</v>
      </c>
      <c r="F41" s="9" t="n">
        <v>13623.61351776952</v>
      </c>
      <c r="G41">
        <f>IF(C41&gt;D41,"YES","")</f>
        <v/>
      </c>
    </row>
    <row r="42">
      <c r="A42" s="24" t="n">
        <v>43879</v>
      </c>
      <c r="B42" s="9" t="n">
        <v>-387.4826891636262</v>
      </c>
      <c r="C42" s="9">
        <f>MAX(0,-B42)</f>
        <v/>
      </c>
      <c r="D42" s="9" t="n">
        <v>14908.7019843634</v>
      </c>
      <c r="E42" s="9" t="n">
        <v>15551.04957702517</v>
      </c>
      <c r="F42" s="9" t="n">
        <v>13209.53312496403</v>
      </c>
      <c r="G42">
        <f>IF(C42&gt;D42,"YES","")</f>
        <v/>
      </c>
    </row>
    <row r="43">
      <c r="A43" s="24" t="n">
        <v>43880</v>
      </c>
      <c r="B43" s="9" t="n">
        <v>9717.717673075687</v>
      </c>
      <c r="C43" s="9">
        <f>MAX(0,-B43)</f>
        <v/>
      </c>
      <c r="D43" s="9" t="n">
        <v>14908.7019843634</v>
      </c>
      <c r="E43" s="9" t="n">
        <v>15486.17166086122</v>
      </c>
      <c r="F43" s="9" t="n">
        <v>12809.02076221724</v>
      </c>
      <c r="G43">
        <f>IF(C43&gt;D43,"YES","")</f>
        <v/>
      </c>
    </row>
    <row r="44">
      <c r="A44" s="24" t="n">
        <v>43881</v>
      </c>
      <c r="B44" s="9" t="n">
        <v>-7291.994419326948</v>
      </c>
      <c r="C44" s="9">
        <f>MAX(0,-B44)</f>
        <v/>
      </c>
      <c r="D44" s="9" t="n">
        <v>14908.7019843634</v>
      </c>
      <c r="E44" s="9" t="n">
        <v>15489.33629987021</v>
      </c>
      <c r="F44" s="9" t="n">
        <v>13597.45470213899</v>
      </c>
      <c r="G44">
        <f>IF(C44&gt;D44,"YES","")</f>
        <v/>
      </c>
    </row>
    <row r="45">
      <c r="A45" s="24" t="n">
        <v>43885</v>
      </c>
      <c r="B45" s="9" t="n">
        <v>-7699.811126677331</v>
      </c>
      <c r="C45" s="9">
        <f>MAX(0,-B45)</f>
        <v/>
      </c>
      <c r="D45" s="9" t="n">
        <v>14908.7019843634</v>
      </c>
      <c r="E45" s="9" t="n">
        <v>15448.84235687057</v>
      </c>
      <c r="F45" s="9" t="n">
        <v>13822.568030779</v>
      </c>
      <c r="G45">
        <f>IF(C45&gt;D45,"YES","")</f>
        <v/>
      </c>
    </row>
    <row r="46">
      <c r="A46" s="24" t="n">
        <v>43886</v>
      </c>
      <c r="B46" s="9" t="n">
        <v>-4768.489268028658</v>
      </c>
      <c r="C46" s="9">
        <f>MAX(0,-B46)</f>
        <v/>
      </c>
      <c r="D46" s="9" t="n">
        <v>14908.7019843634</v>
      </c>
      <c r="E46" s="9" t="n">
        <v>15461.93983498666</v>
      </c>
      <c r="F46" s="9" t="n">
        <v>14101.45072430722</v>
      </c>
      <c r="G46">
        <f>IF(C46&gt;D46,"YES","")</f>
        <v/>
      </c>
    </row>
    <row r="47">
      <c r="A47" s="24" t="n">
        <v>43887</v>
      </c>
      <c r="B47" s="9" t="n">
        <v>-9370.914921347561</v>
      </c>
      <c r="C47" s="9">
        <f>MAX(0,-B47)</f>
        <v/>
      </c>
      <c r="D47" s="9" t="n">
        <v>14908.7019843634</v>
      </c>
      <c r="E47" s="9" t="n">
        <v>15460.09949384018</v>
      </c>
      <c r="F47" s="9" t="n">
        <v>13939.27387598287</v>
      </c>
      <c r="G47">
        <f>IF(C47&gt;D47,"YES","")</f>
        <v/>
      </c>
    </row>
    <row r="48">
      <c r="A48" s="24" t="n">
        <v>43888</v>
      </c>
      <c r="B48" s="9" t="n">
        <v>-3706.217981657106</v>
      </c>
      <c r="C48" s="9">
        <f>MAX(0,-B48)</f>
        <v/>
      </c>
      <c r="D48" s="9" t="n">
        <v>14908.7019843634</v>
      </c>
      <c r="E48" s="9" t="n">
        <v>15473.3693252216</v>
      </c>
      <c r="F48" s="9" t="n">
        <v>14531.33083236392</v>
      </c>
      <c r="G48">
        <f>IF(C48&gt;D48,"YES","")</f>
        <v/>
      </c>
    </row>
    <row r="49">
      <c r="A49" s="25" t="n">
        <v>43889</v>
      </c>
      <c r="B49" s="26" t="n">
        <v>-34666.60904052152</v>
      </c>
      <c r="C49" s="26">
        <f>MAX(0,-B49)</f>
        <v/>
      </c>
      <c r="D49" s="26" t="n">
        <v>14908.7019843634</v>
      </c>
      <c r="E49" s="26" t="n">
        <v>15468.07249817294</v>
      </c>
      <c r="F49" s="26" t="n">
        <v>14246.06208483511</v>
      </c>
      <c r="G49" s="27">
        <f>IF(C49&gt;D49,"YES","")</f>
        <v/>
      </c>
    </row>
    <row r="50">
      <c r="A50" s="24" t="n">
        <v>43892</v>
      </c>
      <c r="B50" s="9" t="n">
        <v>3070.711669553005</v>
      </c>
      <c r="C50" s="9">
        <f>MAX(0,-B50)</f>
        <v/>
      </c>
      <c r="D50" s="9" t="n">
        <v>15868.73249781869</v>
      </c>
      <c r="E50" s="9" t="n">
        <v>15899.67343180386</v>
      </c>
      <c r="F50" s="9" t="n">
        <v>24104.05854292317</v>
      </c>
      <c r="G50">
        <f>IF(C50&gt;D50,"YES","")</f>
        <v/>
      </c>
    </row>
    <row r="51">
      <c r="A51" s="24" t="n">
        <v>43893</v>
      </c>
      <c r="B51" s="9" t="n">
        <v>5386.647114890131</v>
      </c>
      <c r="C51" s="9">
        <f>MAX(0,-B51)</f>
        <v/>
      </c>
      <c r="D51" s="9" t="n">
        <v>15868.73249781869</v>
      </c>
      <c r="E51" s="9" t="n">
        <v>15896.77077135349</v>
      </c>
      <c r="F51" s="9" t="n">
        <v>23435.16829095736</v>
      </c>
      <c r="G51">
        <f>IF(C51&gt;D51,"YES","")</f>
        <v/>
      </c>
    </row>
    <row r="52">
      <c r="A52" s="24" t="n">
        <v>43894</v>
      </c>
      <c r="B52" s="9" t="n">
        <v>-232.6810366261926</v>
      </c>
      <c r="C52" s="9">
        <f>MAX(0,-B52)</f>
        <v/>
      </c>
      <c r="D52" s="9" t="n">
        <v>15868.73249781869</v>
      </c>
      <c r="E52" s="9" t="n">
        <v>15900.98821264038</v>
      </c>
      <c r="F52" s="9" t="n">
        <v>22927.63762612006</v>
      </c>
      <c r="G52">
        <f>IF(C52&gt;D52,"YES","")</f>
        <v/>
      </c>
    </row>
    <row r="53">
      <c r="A53" s="24" t="n">
        <v>43895</v>
      </c>
      <c r="B53" s="9" t="n">
        <v>-1455.514472676244</v>
      </c>
      <c r="C53" s="9">
        <f>MAX(0,-B53)</f>
        <v/>
      </c>
      <c r="D53" s="9" t="n">
        <v>15868.73249781869</v>
      </c>
      <c r="E53" s="9" t="n">
        <v>15901.11142359728</v>
      </c>
      <c r="F53" s="9" t="n">
        <v>22229.56484586673</v>
      </c>
      <c r="G53">
        <f>IF(C53&gt;D53,"YES","")</f>
        <v/>
      </c>
    </row>
    <row r="54">
      <c r="A54" s="24" t="n">
        <v>43896</v>
      </c>
      <c r="B54" s="9" t="n">
        <v>-11639.18747005713</v>
      </c>
      <c r="C54" s="9">
        <f>MAX(0,-B54)</f>
        <v/>
      </c>
      <c r="D54" s="9" t="n">
        <v>15868.73249781869</v>
      </c>
      <c r="E54" s="9" t="n">
        <v>15901.19877289658</v>
      </c>
      <c r="F54" s="9" t="n">
        <v>21568.31595676113</v>
      </c>
      <c r="G54">
        <f>IF(C54&gt;D54,"YES","")</f>
        <v/>
      </c>
    </row>
    <row r="55">
      <c r="A55" s="25" t="n">
        <v>43899</v>
      </c>
      <c r="B55" s="26" t="n">
        <v>-43703.81473217819</v>
      </c>
      <c r="C55" s="26">
        <f>MAX(0,-B55)</f>
        <v/>
      </c>
      <c r="D55" s="26" t="n">
        <v>15868.73249781869</v>
      </c>
      <c r="E55" s="26" t="n">
        <v>15936.43278766273</v>
      </c>
      <c r="F55" s="26" t="n">
        <v>21937.86454396651</v>
      </c>
      <c r="G55" s="27">
        <f>IF(C55&gt;D55,"YES","")</f>
        <v/>
      </c>
    </row>
    <row r="56">
      <c r="A56" s="24" t="n">
        <v>43901</v>
      </c>
      <c r="B56" s="9" t="n">
        <v>1581.05415582539</v>
      </c>
      <c r="C56" s="9">
        <f>MAX(0,-B56)</f>
        <v/>
      </c>
      <c r="D56" s="9" t="n">
        <v>17145.64432777515</v>
      </c>
      <c r="E56" s="9" t="n">
        <v>16589.60823544009</v>
      </c>
      <c r="F56" s="9" t="n">
        <v>32750.63990204934</v>
      </c>
      <c r="G56">
        <f>IF(C56&gt;D56,"YES","")</f>
        <v/>
      </c>
    </row>
    <row r="57">
      <c r="A57" s="25" t="n">
        <v>43902</v>
      </c>
      <c r="B57" s="26" t="n">
        <v>-59633.9734135428</v>
      </c>
      <c r="C57" s="26">
        <f>MAX(0,-B57)</f>
        <v/>
      </c>
      <c r="D57" s="26" t="n">
        <v>17145.64432777515</v>
      </c>
      <c r="E57" s="26" t="n">
        <v>16583.86450787371</v>
      </c>
      <c r="F57" s="26" t="n">
        <v>31765.70235922065</v>
      </c>
      <c r="G57" s="27">
        <f>IF(C57&gt;D57,"YES","")</f>
        <v/>
      </c>
    </row>
    <row r="58">
      <c r="A58" s="24" t="n">
        <v>43903</v>
      </c>
      <c r="B58" s="9" t="n">
        <v>21676.95831308367</v>
      </c>
      <c r="C58" s="9">
        <f>MAX(0,-B58)</f>
        <v/>
      </c>
      <c r="D58" s="9" t="n">
        <v>19504.52912217997</v>
      </c>
      <c r="E58" s="9" t="n">
        <v>17724.83322322329</v>
      </c>
      <c r="F58" s="9" t="n">
        <v>45861.38349636028</v>
      </c>
      <c r="G58">
        <f>IF(C58&gt;D58,"YES","")</f>
        <v/>
      </c>
    </row>
    <row r="59">
      <c r="A59" s="25" t="n">
        <v>43906</v>
      </c>
      <c r="B59" s="26" t="n">
        <v>-54677.00477388886</v>
      </c>
      <c r="C59" s="26">
        <f>MAX(0,-B59)</f>
        <v/>
      </c>
      <c r="D59" s="26" t="n">
        <v>19504.52912217997</v>
      </c>
      <c r="E59" s="26" t="n">
        <v>17860.92655538279</v>
      </c>
      <c r="F59" s="26" t="n">
        <v>46148.13517669102</v>
      </c>
      <c r="G59" s="27">
        <f>IF(C59&gt;D59,"YES","")</f>
        <v/>
      </c>
    </row>
    <row r="60">
      <c r="A60" s="25" t="n">
        <v>43907</v>
      </c>
      <c r="B60" s="26" t="n">
        <v>-22179.21108551315</v>
      </c>
      <c r="C60" s="26">
        <f>MAX(0,-B60)</f>
        <v/>
      </c>
      <c r="D60" s="26" t="n">
        <v>20143.51230132306</v>
      </c>
      <c r="E60" s="26" t="n">
        <v>18758.44669153544</v>
      </c>
      <c r="F60" s="26" t="n">
        <v>54521.80450722484</v>
      </c>
      <c r="G60" s="27">
        <f>IF(C60&gt;D60,"YES","")</f>
        <v/>
      </c>
    </row>
    <row r="61">
      <c r="A61" s="25" t="n">
        <v>43908</v>
      </c>
      <c r="B61" s="26" t="n">
        <v>-24128.82112947957</v>
      </c>
      <c r="C61" s="26">
        <f>MAX(0,-B61)</f>
        <v/>
      </c>
      <c r="D61" s="26" t="n">
        <v>22304.08506506318</v>
      </c>
      <c r="E61" s="26" t="n">
        <v>18898.92265671984</v>
      </c>
      <c r="F61" s="26" t="n">
        <v>54350.72989755878</v>
      </c>
      <c r="G61" s="27">
        <f>IF(C61&gt;D61,"YES","")</f>
        <v/>
      </c>
    </row>
    <row r="62">
      <c r="A62" s="24" t="n">
        <v>43909</v>
      </c>
      <c r="B62" s="9" t="n">
        <v>-22628.10167068164</v>
      </c>
      <c r="C62" s="9">
        <f>MAX(0,-B62)</f>
        <v/>
      </c>
      <c r="D62" s="9" t="n">
        <v>24234.19900858994</v>
      </c>
      <c r="E62" s="9" t="n">
        <v>19062.53722741623</v>
      </c>
      <c r="F62" s="9" t="n">
        <v>54459.25108917234</v>
      </c>
      <c r="G62">
        <f>IF(C62&gt;D62,"YES","")</f>
        <v/>
      </c>
    </row>
    <row r="63">
      <c r="A63" s="24" t="n">
        <v>43910</v>
      </c>
      <c r="B63" s="9" t="n">
        <v>50861.70813562449</v>
      </c>
      <c r="C63" s="9">
        <f>MAX(0,-B63)</f>
        <v/>
      </c>
      <c r="D63" s="9" t="n">
        <v>24234.19900858994</v>
      </c>
      <c r="E63" s="9" t="n">
        <v>19179.69650819143</v>
      </c>
      <c r="F63" s="9" t="n">
        <v>54351.86184196315</v>
      </c>
      <c r="G63">
        <f>IF(C63&gt;D63,"YES","")</f>
        <v/>
      </c>
    </row>
    <row r="64">
      <c r="A64" s="25" t="n">
        <v>43913</v>
      </c>
      <c r="B64" s="26" t="n">
        <v>-79712.0404473462</v>
      </c>
      <c r="C64" s="26">
        <f>MAX(0,-B64)</f>
        <v/>
      </c>
      <c r="D64" s="26" t="n">
        <v>24234.19900858994</v>
      </c>
      <c r="E64" s="26" t="n">
        <v>19870.66001262344</v>
      </c>
      <c r="F64" s="26" t="n">
        <v>60140.53135073116</v>
      </c>
      <c r="G64" s="27">
        <f>IF(C64&gt;D64,"YES","")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Historical VaR backtest, last 250 days</t>
        </is>
      </c>
    </row>
    <row r="2">
      <c r="A2" s="2" t="inlineStr">
        <is>
          <t>As of 2020-03-23  |  compared with 2020-03-20  |  99% confidence  |  all values in INR</t>
        </is>
      </c>
    </row>
    <row r="4">
      <c r="A4" s="8" t="inlineStr">
        <is>
          <t>Exceptions</t>
        </is>
      </c>
      <c r="B4" t="n">
        <v>9</v>
      </c>
    </row>
    <row r="5">
      <c r="A5" s="8" t="inlineStr">
        <is>
          <t>Expected</t>
        </is>
      </c>
      <c r="B5" t="n">
        <v>2.5</v>
      </c>
    </row>
    <row r="6">
      <c r="A6" s="8" t="inlineStr">
        <is>
          <t>Basel zone</t>
        </is>
      </c>
      <c r="B6" s="10" t="inlineStr">
        <is>
          <t>YELLOW</t>
        </is>
      </c>
    </row>
    <row r="7">
      <c r="A7" s="8" t="inlineStr">
        <is>
          <t>Kupiec p-value</t>
        </is>
      </c>
      <c r="B7" t="n">
        <v>0.001</v>
      </c>
    </row>
    <row r="8">
      <c r="A8" s="8" t="inlineStr">
        <is>
          <t>Christoffersen p-value</t>
        </is>
      </c>
      <c r="B8" t="n">
        <v>0.024</v>
      </c>
    </row>
    <row r="10">
      <c r="A10" s="3" t="inlineStr">
        <is>
          <t>Exception date</t>
        </is>
      </c>
      <c r="B10" s="3" t="inlineStr">
        <is>
          <t>Actual P&amp;L</t>
        </is>
      </c>
      <c r="C10" s="3" t="inlineStr">
        <is>
          <t>VaR forecast</t>
        </is>
      </c>
      <c r="D10" s="3" t="inlineStr">
        <is>
          <t>Excess loss</t>
        </is>
      </c>
    </row>
    <row r="11">
      <c r="A11" s="24" t="n">
        <v>43622</v>
      </c>
      <c r="B11" s="9" t="n">
        <v>-19499.55654407611</v>
      </c>
      <c r="C11" s="9" t="n">
        <v>12981.66645966054</v>
      </c>
      <c r="D11" s="9">
        <f>-B11-C11</f>
        <v/>
      </c>
    </row>
    <row r="12">
      <c r="A12" s="24" t="n">
        <v>43760</v>
      </c>
      <c r="B12" s="9" t="n">
        <v>-17121.86743670142</v>
      </c>
      <c r="C12" s="9" t="n">
        <v>13981.69971540557</v>
      </c>
      <c r="D12" s="9">
        <f>-B12-C12</f>
        <v/>
      </c>
    </row>
    <row r="13">
      <c r="A13" s="24" t="n">
        <v>43889</v>
      </c>
      <c r="B13" s="9" t="n">
        <v>-34666.60904052152</v>
      </c>
      <c r="C13" s="9" t="n">
        <v>14908.7019843634</v>
      </c>
      <c r="D13" s="9">
        <f>-B13-C13</f>
        <v/>
      </c>
    </row>
    <row r="14">
      <c r="A14" s="24" t="n">
        <v>43899</v>
      </c>
      <c r="B14" s="9" t="n">
        <v>-43703.81473217819</v>
      </c>
      <c r="C14" s="9" t="n">
        <v>15868.73249781869</v>
      </c>
      <c r="D14" s="9">
        <f>-B14-C14</f>
        <v/>
      </c>
    </row>
    <row r="15">
      <c r="A15" s="24" t="n">
        <v>43902</v>
      </c>
      <c r="B15" s="9" t="n">
        <v>-59633.9734135428</v>
      </c>
      <c r="C15" s="9" t="n">
        <v>17145.64432777515</v>
      </c>
      <c r="D15" s="9">
        <f>-B15-C15</f>
        <v/>
      </c>
    </row>
    <row r="16">
      <c r="A16" s="24" t="n">
        <v>43906</v>
      </c>
      <c r="B16" s="9" t="n">
        <v>-54677.00477388886</v>
      </c>
      <c r="C16" s="9" t="n">
        <v>19504.52912217997</v>
      </c>
      <c r="D16" s="9">
        <f>-B16-C16</f>
        <v/>
      </c>
    </row>
    <row r="17">
      <c r="A17" s="24" t="n">
        <v>43907</v>
      </c>
      <c r="B17" s="9" t="n">
        <v>-22179.21108551315</v>
      </c>
      <c r="C17" s="9" t="n">
        <v>20143.51230132306</v>
      </c>
      <c r="D17" s="9">
        <f>-B17-C17</f>
        <v/>
      </c>
    </row>
    <row r="18">
      <c r="A18" s="24" t="n">
        <v>43908</v>
      </c>
      <c r="B18" s="9" t="n">
        <v>-24128.82112947957</v>
      </c>
      <c r="C18" s="9" t="n">
        <v>22304.08506506318</v>
      </c>
      <c r="D18" s="9">
        <f>-B18-C18</f>
        <v/>
      </c>
    </row>
    <row r="19">
      <c r="A19" s="24" t="n">
        <v>43913</v>
      </c>
      <c r="B19" s="9" t="n">
        <v>-79712.0404473462</v>
      </c>
      <c r="C19" s="9" t="n">
        <v>24234.19900858994</v>
      </c>
      <c r="D19" s="9">
        <f>-B19-C19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2026-10-04T06:48:01Z</dcterms:created>
  <dcterms:modified xmlns:dcterms="http://purl.org/dc/terms/" xmlns:xsi="http://www.w3.org/2001/XMLSchema-instance" xsi:type="dcterms:W3CDTF">2026-10-04T06:48:01Z</dcterms:modified>
</cp:coreProperties>
</file>