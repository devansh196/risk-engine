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Margin" sheetId="3" state="visible" r:id="rId3"/>
    <sheet xmlns:r="http://schemas.openxmlformats.org/officeDocument/2006/relationships" name="Stress" sheetId="4" state="visible" r:id="rId4"/>
    <sheet xmlns:r="http://schemas.openxmlformats.org/officeDocument/2006/relationships" name="VaR history" sheetId="5" state="visible" r:id="rId5"/>
    <sheet xmlns:r="http://schemas.openxmlformats.org/officeDocument/2006/relationships" name="Backte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-#,##0"/>
    <numFmt numFmtId="165" formatCode="0.0%;[Red]-0.0%"/>
    <numFmt numFmtId="166" formatCode="#,##0.000"/>
    <numFmt numFmtId="167" formatCode="0.0&quot;x&quot;"/>
    <numFmt numFmtId="168" formatCode="yyyy-mm-dd"/>
  </numFmts>
  <fonts count="6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595959"/>
    </font>
    <font>
      <b val="1"/>
      <color rgb="00FFFFFF"/>
    </font>
    <font>
      <b val="1"/>
    </font>
    <font>
      <b val="1"/>
      <color rgb="001F3A5F"/>
      <sz val="12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4" fillId="0" borderId="1" pivotButton="0" quotePrefix="0" xfId="0"/>
    <xf numFmtId="0" fontId="4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4" fillId="4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top"/>
    </xf>
    <xf numFmtId="166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164" fontId="4" fillId="5" borderId="0" pivotButton="0" quotePrefix="0" xfId="0"/>
    <xf numFmtId="165" fontId="4" fillId="5" borderId="0" pivotButton="0" quotePrefix="0" xfId="0"/>
    <xf numFmtId="9" fontId="0" fillId="0" borderId="0" pivotButton="0" quotePrefix="0" xfId="0"/>
    <xf numFmtId="164" fontId="4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Stress scenario P&amp;L (INR)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'Stress'!C4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'Stress'!$A$5:$A$14</f>
            </numRef>
          </cat>
          <val>
            <numRef>
              <f>'Stress'!$C$5:$C$14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loss vs 99% 1-day VaR</a:t>
            </a:r>
          </a:p>
        </rich>
      </tx>
    </title>
    <plotArea>
      <lineChart>
        <grouping val="standard"/>
        <ser>
          <idx val="0"/>
          <order val="0"/>
          <tx>
            <strRef>
              <f>'VaR history'!C4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 history'!$A$5:$A$64</f>
            </numRef>
          </cat>
          <val>
            <numRef>
              <f>'VaR history'!$C$5:$C$64</f>
            </numRef>
          </val>
        </ser>
        <ser>
          <idx val="1"/>
          <order val="1"/>
          <tx>
            <strRef>
              <f>'VaR history'!D4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 history'!$A$5:$A$64</f>
            </numRef>
          </cat>
          <val>
            <numRef>
              <f>'VaR history'!$D$5:$D$64</f>
            </numRef>
          </val>
        </ser>
        <ser>
          <idx val="2"/>
          <order val="2"/>
          <tx>
            <strRef>
              <f>'VaR history'!E4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 history'!$A$5:$A$64</f>
            </numRef>
          </cat>
          <val>
            <numRef>
              <f>'VaR history'!$E$5:$E$64</f>
            </numRef>
          </val>
        </ser>
        <ser>
          <idx val="3"/>
          <order val="3"/>
          <tx>
            <strRef>
              <f>'VaR history'!F4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 history'!$A$5:$A$64</f>
            </numRef>
          </cat>
          <val>
            <numRef>
              <f>'VaR history'!$F$5:$F$64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dd-m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3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16" customWidth="1" min="4" max="4"/>
    <col width="12" customWidth="1" min="5" max="5"/>
  </cols>
  <sheetData>
    <row r="1">
      <c r="A1" s="1" t="inlineStr">
        <is>
          <t>Daily Risk &amp; Margin Report</t>
        </is>
      </c>
    </row>
    <row r="2">
      <c r="A2" s="2" t="inlineStr">
        <is>
          <t>As of 2026-10-02  |  compared with 2026-10-01  |  99% confidence  |  all values in INR</t>
        </is>
      </c>
    </row>
    <row r="4">
      <c r="A4" s="3" t="inlineStr">
        <is>
          <t>Metric</t>
        </is>
      </c>
      <c r="B4" s="3" t="inlineStr">
        <is>
          <t>Previous (2026-10-01)</t>
        </is>
      </c>
      <c r="C4" s="3" t="inlineStr">
        <is>
          <t>Today (2026-10-02)</t>
        </is>
      </c>
      <c r="D4" s="3" t="inlineStr">
        <is>
          <t>Change</t>
        </is>
      </c>
      <c r="E4" s="3" t="inlineStr">
        <is>
          <t>% Change</t>
        </is>
      </c>
    </row>
    <row r="5">
      <c r="A5" s="4" t="inlineStr">
        <is>
          <t>Portfolio market value</t>
        </is>
      </c>
      <c r="B5" s="5" t="n">
        <v>999845.3106817217</v>
      </c>
      <c r="C5" s="5" t="n">
        <v>1000000</v>
      </c>
      <c r="D5" s="5">
        <f>C5-B5</f>
        <v/>
      </c>
      <c r="E5" s="6">
        <f>IF(OR(B5="",B5=0),"",D5/B5)</f>
        <v/>
      </c>
    </row>
    <row r="6">
      <c r="A6" s="4" t="inlineStr">
        <is>
          <t>1-day VaR, historical</t>
        </is>
      </c>
      <c r="B6" s="5" t="n">
        <v>18340.39156683336</v>
      </c>
      <c r="C6" s="5" t="n">
        <v>18340.14153706401</v>
      </c>
      <c r="D6" s="5">
        <f>C6-B6</f>
        <v/>
      </c>
      <c r="E6" s="6">
        <f>IF(OR(B6="",B6=0),"",D6/B6)</f>
        <v/>
      </c>
    </row>
    <row r="7">
      <c r="A7" s="4" t="inlineStr">
        <is>
          <t>1-day Expected Shortfall, historical</t>
        </is>
      </c>
      <c r="B7" s="5" t="n">
        <v>22013.5684970913</v>
      </c>
      <c r="C7" s="5" t="n">
        <v>22013.0885442832</v>
      </c>
      <c r="D7" s="5">
        <f>C7-B7</f>
        <v/>
      </c>
      <c r="E7" s="6">
        <f>IF(OR(B7="",B7=0),"",D7/B7)</f>
        <v/>
      </c>
    </row>
    <row r="8">
      <c r="A8" s="4" t="inlineStr">
        <is>
          <t>1-day VaR, parametric</t>
        </is>
      </c>
      <c r="B8" s="5" t="n">
        <v>17000.72953941753</v>
      </c>
      <c r="C8" s="5" t="n">
        <v>17000.39757254003</v>
      </c>
      <c r="D8" s="5">
        <f>C8-B8</f>
        <v/>
      </c>
      <c r="E8" s="6">
        <f>IF(OR(B8="",B8=0),"",D8/B8)</f>
        <v/>
      </c>
    </row>
    <row r="9">
      <c r="A9" s="4" t="inlineStr">
        <is>
          <t>1-day VaR, EWMA</t>
        </is>
      </c>
      <c r="B9" s="5" t="n">
        <v>14663.50613603347</v>
      </c>
      <c r="C9" s="5" t="n">
        <v>14217.21951186199</v>
      </c>
      <c r="D9" s="5">
        <f>C9-B9</f>
        <v/>
      </c>
      <c r="E9" s="6">
        <f>IF(OR(B9="",B9=0),"",D9/B9)</f>
        <v/>
      </c>
    </row>
    <row r="10">
      <c r="A10" s="4" t="inlineStr">
        <is>
          <t>VaR limit</t>
        </is>
      </c>
      <c r="B10" s="5" t="n">
        <v>25000</v>
      </c>
      <c r="C10" s="5" t="n">
        <v>25000</v>
      </c>
      <c r="D10" s="5">
        <f>C10-B10</f>
        <v/>
      </c>
      <c r="E10" s="6">
        <f>IF(OR(B10="",B10=0),"",D10/B10)</f>
        <v/>
      </c>
    </row>
    <row r="11">
      <c r="A11" s="7" t="inlineStr">
        <is>
          <t>VaR limit utilisation</t>
        </is>
      </c>
      <c r="B11" s="6">
        <f>B6/B10</f>
        <v/>
      </c>
      <c r="C11" s="6">
        <f>C6/C10</f>
        <v/>
      </c>
      <c r="D11" s="6">
        <f>C11-B11</f>
        <v/>
      </c>
      <c r="E11" s="6" t="inlineStr"/>
    </row>
    <row r="12">
      <c r="A12" s="4" t="inlineStr">
        <is>
          <t>Initial margin, recent calibration</t>
        </is>
      </c>
      <c r="B12" s="5" t="n">
        <v>46632.45340204638</v>
      </c>
      <c r="C12" s="5" t="n">
        <v>46630.0450449988</v>
      </c>
      <c r="D12" s="5">
        <f>C12-B12</f>
        <v/>
      </c>
      <c r="E12" s="6">
        <f>IF(OR(B12="",B12=0),"",D12/B12)</f>
        <v/>
      </c>
    </row>
    <row r="13">
      <c r="A13" s="4" t="inlineStr">
        <is>
          <t>Initial margin, stressed (2020)</t>
        </is>
      </c>
      <c r="B13" s="5" t="n">
        <v>167093.3346809332</v>
      </c>
      <c r="C13" s="5" t="n">
        <v>167090.9065677692</v>
      </c>
      <c r="D13" s="5">
        <f>C13-B13</f>
        <v/>
      </c>
      <c r="E13" s="6">
        <f>IF(OR(B13="",B13=0),"",D13/B13)</f>
        <v/>
      </c>
    </row>
    <row r="14">
      <c r="A14" s="7" t="inlineStr">
        <is>
          <t>Initial margin required (APC blend)</t>
        </is>
      </c>
      <c r="B14" s="5" t="n">
        <v>76747.67372176809</v>
      </c>
      <c r="C14" s="5" t="n">
        <v>76745.26042569139</v>
      </c>
      <c r="D14" s="5">
        <f>C14-B14</f>
        <v/>
      </c>
      <c r="E14" s="6">
        <f>IF(OR(B14="",B14=0),"",D14/B14)</f>
        <v/>
      </c>
    </row>
    <row r="15">
      <c r="A15" s="4" t="inlineStr">
        <is>
          <t>Collateral after haircuts</t>
        </is>
      </c>
      <c r="B15" s="5" t="n">
        <v>94300</v>
      </c>
      <c r="C15" s="5" t="n">
        <v>94300</v>
      </c>
      <c r="D15" s="5">
        <f>C15-B15</f>
        <v/>
      </c>
      <c r="E15" s="6">
        <f>IF(OR(B15="",B15=0),"",D15/B15)</f>
        <v/>
      </c>
    </row>
    <row r="16">
      <c r="A16" s="7" t="inlineStr">
        <is>
          <t>Excess / (shortfall) collateral</t>
        </is>
      </c>
      <c r="B16" s="5">
        <f>B15-B14</f>
        <v/>
      </c>
      <c r="C16" s="5">
        <f>C15-C14</f>
        <v/>
      </c>
      <c r="D16" s="5">
        <f>C16-B16</f>
        <v/>
      </c>
      <c r="E16" s="6">
        <f>IF(OR(B16="",B16=0),"",D16/B16)</f>
        <v/>
      </c>
    </row>
    <row r="17">
      <c r="A17" s="8" t="inlineStr">
        <is>
          <t>Daily P&amp;L</t>
        </is>
      </c>
      <c r="C17" s="9">
        <f>Positions!I13</f>
        <v/>
      </c>
    </row>
    <row r="18">
      <c r="A18" s="8" t="inlineStr">
        <is>
          <t>VaR exceptions, last 250 days</t>
        </is>
      </c>
      <c r="C18" t="n">
        <v>5</v>
      </c>
      <c r="D18" s="10" t="inlineStr">
        <is>
          <t>YELLOW</t>
        </is>
      </c>
    </row>
    <row r="20">
      <c r="A20" s="11" t="inlineStr">
        <is>
          <t>Commentary</t>
        </is>
      </c>
    </row>
    <row r="21">
      <c r="A21" s="3" t="inlineStr">
        <is>
          <t>Status</t>
        </is>
      </c>
      <c r="B21" s="3" t="inlineStr">
        <is>
          <t>Comment</t>
        </is>
      </c>
    </row>
    <row r="22" ht="32" customHeight="1">
      <c r="A22" s="12" t="inlineStr">
        <is>
          <t>INFO</t>
        </is>
      </c>
      <c r="B22" s="13" t="inlineStr">
        <is>
          <t>Portfolio value Rs 1,000,000. Daily P&amp;L Rs 155 (+0.0%), driven mainly by INR=X (Rs 155, +0.3%).</t>
        </is>
      </c>
    </row>
    <row r="23" ht="32" customHeight="1">
      <c r="A23" s="12" t="inlineStr">
        <is>
          <t>INFO</t>
        </is>
      </c>
      <c r="B23" s="13" t="inlineStr">
        <is>
          <t>1-day 99% historical VaR down 0.0% to Rs 18,340 (73% of the Rs 25,000 limit). Largest change in VaR contribution: RELIANCE.NS (+Rs 1).</t>
        </is>
      </c>
    </row>
    <row r="24" ht="32" customHeight="1">
      <c r="A24" s="12" t="inlineStr">
        <is>
          <t>INFO</t>
        </is>
      </c>
      <c r="B24" s="13" t="inlineStr">
        <is>
          <t>EWMA VaR (Rs 14,217) is 22% below historical VaR: markets have been calmer recently than over the 2-year window.</t>
        </is>
      </c>
    </row>
    <row r="25" ht="32" customHeight="1">
      <c r="A25" s="12" t="inlineStr">
        <is>
          <t>INFO</t>
        </is>
      </c>
      <c r="B25" s="13" t="inlineStr">
        <is>
          <t>Initial margin requirement Rs 76,745 (-Rs 2 DoD); collateral after haircuts Rs 94,300 (+Rs 0 DoD). Excess collateral Rs 17,555 (23% cushion).</t>
        </is>
      </c>
    </row>
    <row r="26" ht="17" customHeight="1">
      <c r="A26" s="14" t="inlineStr">
        <is>
          <t>WARNING</t>
        </is>
      </c>
      <c r="B26" s="13" t="inlineStr">
        <is>
          <t>No VaR exception today. 5 exceptions in the last 250 days (YELLOW zone).</t>
        </is>
      </c>
    </row>
    <row r="27" ht="32" customHeight="1">
      <c r="A27" s="12" t="inlineStr">
        <is>
          <t>INFO</t>
        </is>
      </c>
      <c r="B27" s="13" t="inlineStr">
        <is>
          <t>Worst stress scenario: 2008-style crisis, loss Rs 279,500 (28.0%). Collateral covers 34% of it, leaving Rs 185,200 of uncollateralised stress exposure.</t>
        </is>
      </c>
    </row>
  </sheetData>
  <mergeCells count="7">
    <mergeCell ref="B23:E23"/>
    <mergeCell ref="B26:E26"/>
    <mergeCell ref="B27:E27"/>
    <mergeCell ref="B21:E21"/>
    <mergeCell ref="B25:E25"/>
    <mergeCell ref="B24:E24"/>
    <mergeCell ref="B22:E2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9" customWidth="1" min="2" max="2"/>
    <col width="12" customWidth="1" min="3" max="3"/>
    <col width="13" customWidth="1" min="4" max="4"/>
    <col width="13" customWidth="1" min="5" max="5"/>
    <col width="14" customWidth="1" min="6" max="6"/>
    <col width="9" customWidth="1" min="7" max="7"/>
    <col width="11" customWidth="1" min="8" max="8"/>
    <col width="13" customWidth="1" min="9" max="9"/>
    <col width="14" customWidth="1" min="10" max="10"/>
    <col width="16" customWidth="1" min="11" max="11"/>
    <col width="16" customWidth="1" min="12" max="12"/>
    <col width="14" customWidth="1" min="13" max="13"/>
  </cols>
  <sheetData>
    <row r="1">
      <c r="A1" s="1" t="inlineStr">
        <is>
          <t>Positions, P&amp;L and VaR contribution</t>
        </is>
      </c>
    </row>
    <row r="2">
      <c r="A2" s="2" t="inlineStr">
        <is>
          <t>As of 2026-10-02  |  compared with 2026-10-01  |  99% confidence  |  all values in INR</t>
        </is>
      </c>
    </row>
    <row r="4">
      <c r="A4" s="3" t="inlineStr">
        <is>
          <t>Asset</t>
        </is>
      </c>
      <c r="B4" s="3" t="inlineStr">
        <is>
          <t>Class</t>
        </is>
      </c>
      <c r="C4" s="3" t="inlineStr">
        <is>
          <t>Units</t>
        </is>
      </c>
      <c r="D4" s="3" t="inlineStr">
        <is>
          <t>Price 2026-10-01</t>
        </is>
      </c>
      <c r="E4" s="3" t="inlineStr">
        <is>
          <t>Price 2026-10-02</t>
        </is>
      </c>
      <c r="F4" s="3" t="inlineStr">
        <is>
          <t>Market value</t>
        </is>
      </c>
      <c r="G4" s="3" t="inlineStr">
        <is>
          <t>Weight</t>
        </is>
      </c>
      <c r="H4" s="3" t="inlineStr">
        <is>
          <t>Daily return</t>
        </is>
      </c>
      <c r="I4" s="3" t="inlineStr">
        <is>
          <t>Daily P&amp;L</t>
        </is>
      </c>
      <c r="J4" s="3" t="inlineStr">
        <is>
          <t>Standalone VaR</t>
        </is>
      </c>
      <c r="K4" s="3" t="inlineStr">
        <is>
          <t>VaR contribution 2026-10-01</t>
        </is>
      </c>
      <c r="L4" s="3" t="inlineStr">
        <is>
          <t>VaR contribution 2026-10-02</t>
        </is>
      </c>
      <c r="M4" s="3" t="inlineStr">
        <is>
          <t>Change in contribution</t>
        </is>
      </c>
    </row>
    <row r="5">
      <c r="A5" t="inlineStr">
        <is>
          <t>RELIANCE.NS</t>
        </is>
      </c>
      <c r="B5" t="inlineStr">
        <is>
          <t>Equity</t>
        </is>
      </c>
      <c r="C5" s="15" t="n">
        <v>171.2768762208861</v>
      </c>
      <c r="D5" s="16" t="n">
        <v>1167.699951171875</v>
      </c>
      <c r="E5" s="16" t="n">
        <v>1167.699951171875</v>
      </c>
      <c r="F5" s="9">
        <f>C5*E5</f>
        <v/>
      </c>
      <c r="G5" s="17">
        <f>F5/$F$13</f>
        <v/>
      </c>
      <c r="H5" s="17">
        <f>E5/D5-1</f>
        <v/>
      </c>
      <c r="I5" s="9">
        <f>C5*(E5-D5)</f>
        <v/>
      </c>
      <c r="J5" s="9" t="n">
        <v>6095.909495542362</v>
      </c>
      <c r="K5" s="9" t="n">
        <v>4279.330023191768</v>
      </c>
      <c r="L5" s="9" t="n">
        <v>4280.062826862286</v>
      </c>
      <c r="M5" s="9">
        <f>L5-K5</f>
        <v/>
      </c>
    </row>
    <row r="6">
      <c r="A6" t="inlineStr">
        <is>
          <t>HDFCBANK.NS</t>
        </is>
      </c>
      <c r="B6" t="inlineStr">
        <is>
          <t>Equity</t>
        </is>
      </c>
      <c r="C6" s="15" t="n">
        <v>207.9866853315308</v>
      </c>
      <c r="D6" s="16" t="n">
        <v>721.2000122070312</v>
      </c>
      <c r="E6" s="16" t="n">
        <v>721.2000122070312</v>
      </c>
      <c r="F6" s="9">
        <f>C6*E6</f>
        <v/>
      </c>
      <c r="G6" s="17">
        <f>F6/$F$13</f>
        <v/>
      </c>
      <c r="H6" s="17">
        <f>E6/D6-1</f>
        <v/>
      </c>
      <c r="I6" s="9">
        <f>C6*(E6-D6)</f>
        <v/>
      </c>
      <c r="J6" s="9" t="n">
        <v>4339.946615316977</v>
      </c>
      <c r="K6" s="9" t="n">
        <v>2867.897871146029</v>
      </c>
      <c r="L6" s="9" t="n">
        <v>2868.115009576132</v>
      </c>
      <c r="M6" s="9">
        <f>L6-K6</f>
        <v/>
      </c>
    </row>
    <row r="7">
      <c r="A7" t="inlineStr">
        <is>
          <t>TCS.NS</t>
        </is>
      </c>
      <c r="B7" t="inlineStr">
        <is>
          <t>Equity</t>
        </is>
      </c>
      <c r="C7" s="15" t="n">
        <v>72.28915662650603</v>
      </c>
      <c r="D7" s="16" t="n">
        <v>2075</v>
      </c>
      <c r="E7" s="16" t="n">
        <v>2075</v>
      </c>
      <c r="F7" s="9">
        <f>C7*E7</f>
        <v/>
      </c>
      <c r="G7" s="17">
        <f>F7/$F$13</f>
        <v/>
      </c>
      <c r="H7" s="17">
        <f>E7/D7-1</f>
        <v/>
      </c>
      <c r="I7" s="9">
        <f>C7*(E7-D7)</f>
        <v/>
      </c>
      <c r="J7" s="9" t="n">
        <v>5447.702202691193</v>
      </c>
      <c r="K7" s="9" t="n">
        <v>3769.211660642956</v>
      </c>
      <c r="L7" s="9" t="n">
        <v>3768.892190478905</v>
      </c>
      <c r="M7" s="9">
        <f>L7-K7</f>
        <v/>
      </c>
    </row>
    <row r="8">
      <c r="A8" t="inlineStr">
        <is>
          <t>INFY.NS</t>
        </is>
      </c>
      <c r="B8" t="inlineStr">
        <is>
          <t>Equity</t>
        </is>
      </c>
      <c r="C8" s="15" t="n">
        <v>96.61835748792271</v>
      </c>
      <c r="D8" s="16" t="n">
        <v>1035</v>
      </c>
      <c r="E8" s="16" t="n">
        <v>1035</v>
      </c>
      <c r="F8" s="9">
        <f>C8*E8</f>
        <v/>
      </c>
      <c r="G8" s="17">
        <f>F8/$F$13</f>
        <v/>
      </c>
      <c r="H8" s="17">
        <f>E8/D8-1</f>
        <v/>
      </c>
      <c r="I8" s="9">
        <f>C8*(E8-D8)</f>
        <v/>
      </c>
      <c r="J8" s="9" t="n">
        <v>4098.410069786729</v>
      </c>
      <c r="K8" s="9" t="n">
        <v>2682.999997732949</v>
      </c>
      <c r="L8" s="9" t="n">
        <v>2682.302829497582</v>
      </c>
      <c r="M8" s="9">
        <f>L8-K8</f>
        <v/>
      </c>
    </row>
    <row r="9">
      <c r="A9" t="inlineStr">
        <is>
          <t>NIFTYBEES.NS</t>
        </is>
      </c>
      <c r="B9" t="inlineStr">
        <is>
          <t>Equity</t>
        </is>
      </c>
      <c r="C9" s="15" t="n">
        <v>584.7953216374269</v>
      </c>
      <c r="D9" s="16" t="n">
        <v>256.5</v>
      </c>
      <c r="E9" s="16" t="n">
        <v>256.5</v>
      </c>
      <c r="F9" s="9">
        <f>C9*E9</f>
        <v/>
      </c>
      <c r="G9" s="17">
        <f>F9/$F$13</f>
        <v/>
      </c>
      <c r="H9" s="17">
        <f>E9/D9-1</f>
        <v/>
      </c>
      <c r="I9" s="9">
        <f>C9*(E9-D9)</f>
        <v/>
      </c>
      <c r="J9" s="9" t="n">
        <v>2701.729074198282</v>
      </c>
      <c r="K9" s="9" t="n">
        <v>2273.43819234863</v>
      </c>
      <c r="L9" s="9" t="n">
        <v>2273.45857738187</v>
      </c>
      <c r="M9" s="9">
        <f>L9-K9</f>
        <v/>
      </c>
    </row>
    <row r="10">
      <c r="A10" t="inlineStr">
        <is>
          <t>GOLDBEES.NS</t>
        </is>
      </c>
      <c r="B10" t="inlineStr">
        <is>
          <t>Gold</t>
        </is>
      </c>
      <c r="C10" s="15" t="n">
        <v>823.5197212277175</v>
      </c>
      <c r="D10" s="16" t="n">
        <v>121.4300003051758</v>
      </c>
      <c r="E10" s="16" t="n">
        <v>121.4300003051758</v>
      </c>
      <c r="F10" s="9">
        <f>C10*E10</f>
        <v/>
      </c>
      <c r="G10" s="17">
        <f>F10/$F$13</f>
        <v/>
      </c>
      <c r="H10" s="17">
        <f>E10/D10-1</f>
        <v/>
      </c>
      <c r="I10" s="9">
        <f>C10*(E10-D10)</f>
        <v/>
      </c>
      <c r="J10" s="9" t="n">
        <v>3722.892389545937</v>
      </c>
      <c r="K10" s="9" t="n">
        <v>1112.369267523746</v>
      </c>
      <c r="L10" s="9" t="n">
        <v>1112.387460928109</v>
      </c>
      <c r="M10" s="9">
        <f>L10-K10</f>
        <v/>
      </c>
    </row>
    <row r="11">
      <c r="A11" t="inlineStr">
        <is>
          <t>SETF10GILT.NS</t>
        </is>
      </c>
      <c r="B11" t="inlineStr">
        <is>
          <t>Bonds</t>
        </is>
      </c>
      <c r="C11" s="15" t="n">
        <v>383.1417624521073</v>
      </c>
      <c r="D11" s="16" t="n">
        <v>261</v>
      </c>
      <c r="E11" s="16" t="n">
        <v>261</v>
      </c>
      <c r="F11" s="9">
        <f>C11*E11</f>
        <v/>
      </c>
      <c r="G11" s="17">
        <f>F11/$F$13</f>
        <v/>
      </c>
      <c r="H11" s="17">
        <f>E11/D11-1</f>
        <v/>
      </c>
      <c r="I11" s="9">
        <f>C11*(E11-D11)</f>
        <v/>
      </c>
      <c r="J11" s="9" t="n">
        <v>621.1126588135443</v>
      </c>
      <c r="K11" s="9" t="n">
        <v>85.1053433371363</v>
      </c>
      <c r="L11" s="9" t="n">
        <v>84.9718306958829</v>
      </c>
      <c r="M11" s="9">
        <f>L11-K11</f>
        <v/>
      </c>
    </row>
    <row r="12">
      <c r="A12" t="inlineStr">
        <is>
          <t>INR=X</t>
        </is>
      </c>
      <c r="B12" t="inlineStr">
        <is>
          <t>FX</t>
        </is>
      </c>
      <c r="C12" s="15" t="n">
        <v>519.6165639514264</v>
      </c>
      <c r="D12" s="16" t="n">
        <v>95.92710113525391</v>
      </c>
      <c r="E12" s="16" t="n">
        <v>96.22480010986328</v>
      </c>
      <c r="F12" s="9">
        <f>C12*E12</f>
        <v/>
      </c>
      <c r="G12" s="17">
        <f>F12/$F$13</f>
        <v/>
      </c>
      <c r="H12" s="17">
        <f>E12/D12-1</f>
        <v/>
      </c>
      <c r="I12" s="9">
        <f>C12*(E12-D12)</f>
        <v/>
      </c>
      <c r="J12" s="9" t="n">
        <v>445.7592388184737</v>
      </c>
      <c r="K12" s="9" t="n">
        <v>-69.62281650569059</v>
      </c>
      <c r="L12" s="9" t="n">
        <v>-69.79315288074154</v>
      </c>
      <c r="M12" s="9">
        <f>L12-K12</f>
        <v/>
      </c>
    </row>
    <row r="13">
      <c r="A13" s="8" t="inlineStr">
        <is>
          <t>TOTAL</t>
        </is>
      </c>
      <c r="F13" s="18">
        <f>SUM(F5:F12)</f>
        <v/>
      </c>
      <c r="G13" s="19">
        <f>SUM(G5:G12)</f>
        <v/>
      </c>
      <c r="H13" s="19">
        <f>I13/SUMPRODUCT(C5:C12,D5:D12)</f>
        <v/>
      </c>
      <c r="I13" s="18">
        <f>SUM(I5:I12)</f>
        <v/>
      </c>
      <c r="J13" s="18">
        <f>SUM(J5:J12)</f>
        <v/>
      </c>
      <c r="K13" s="18">
        <f>SUM(K5:K12)</f>
        <v/>
      </c>
      <c r="L13" s="18">
        <f>SUM(L5:L12)</f>
        <v/>
      </c>
      <c r="M13" s="18">
        <f>SUM(M5:M12)</f>
        <v/>
      </c>
    </row>
    <row r="15">
      <c r="A15" t="inlineStr">
        <is>
          <t>Diversification benefit (standalone VaR sum - parametric VaR)</t>
        </is>
      </c>
      <c r="J15" s="9">
        <f>J13-L13</f>
        <v/>
      </c>
    </row>
    <row r="16">
      <c r="A16" s="2" t="inlineStr">
        <is>
          <t>VaR contributions are component VaRs: they add up to the parametric VaR. Positive change = asset added risk today.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2" customWidth="1" min="4" max="4"/>
    <col width="14" customWidth="1" min="5" max="5"/>
    <col width="9" customWidth="1" min="6" max="6"/>
    <col width="18" customWidth="1" min="7" max="7"/>
  </cols>
  <sheetData>
    <row r="1">
      <c r="A1" s="1" t="inlineStr">
        <is>
          <t>Initial margin and collateral</t>
        </is>
      </c>
    </row>
    <row r="2">
      <c r="A2" s="2" t="inlineStr">
        <is>
          <t>As of 2026-10-02  |  compared with 2026-10-01  |  99% confidence  |  all values in INR</t>
        </is>
      </c>
    </row>
    <row r="4">
      <c r="A4" s="3" t="inlineStr">
        <is>
          <t>Initial margin (10-day MPOR)</t>
        </is>
      </c>
      <c r="B4" s="3" t="inlineStr">
        <is>
          <t>Previous (2026-10-01)</t>
        </is>
      </c>
      <c r="C4" s="3" t="inlineStr">
        <is>
          <t>Today (2026-10-02)</t>
        </is>
      </c>
      <c r="D4" s="3" t="inlineStr">
        <is>
          <t>Change</t>
        </is>
      </c>
    </row>
    <row r="5">
      <c r="A5" t="inlineStr">
        <is>
          <t>Recent (last 2y)</t>
        </is>
      </c>
      <c r="B5" s="9" t="n">
        <v>46632.45340204638</v>
      </c>
      <c r="C5" s="9" t="n">
        <v>46630.0450449988</v>
      </c>
      <c r="D5" s="9">
        <f>C5-B5</f>
        <v/>
      </c>
    </row>
    <row r="6">
      <c r="A6" t="inlineStr">
        <is>
          <t>Stressed (2020)</t>
        </is>
      </c>
      <c r="B6" s="9" t="n">
        <v>167093.3346809332</v>
      </c>
      <c r="C6" s="9" t="n">
        <v>167090.9065677692</v>
      </c>
      <c r="D6" s="9">
        <f>C6-B6</f>
        <v/>
      </c>
    </row>
    <row r="7">
      <c r="A7" t="inlineStr">
        <is>
          <t>APC blend (25% stressed)</t>
        </is>
      </c>
      <c r="B7" s="9" t="n">
        <v>76747.67372176809</v>
      </c>
      <c r="C7" s="9" t="n">
        <v>76745.26042569139</v>
      </c>
      <c r="D7" s="9">
        <f>C7-B7</f>
        <v/>
      </c>
    </row>
    <row r="8">
      <c r="A8" t="inlineStr">
        <is>
          <t>sqrt(10) x 1-day VaR (recent)</t>
        </is>
      </c>
      <c r="B8" s="9" t="n">
        <v>57997.41053053767</v>
      </c>
      <c r="C8" s="9" t="n">
        <v>57996.61986698367</v>
      </c>
      <c r="D8" s="9">
        <f>C8-B8</f>
        <v/>
      </c>
    </row>
    <row r="10">
      <c r="A10" s="3" t="inlineStr">
        <is>
          <t>IM by asset class (today)</t>
        </is>
      </c>
      <c r="B10" s="3" t="inlineStr">
        <is>
          <t>Standalone IM</t>
        </is>
      </c>
    </row>
    <row r="11">
      <c r="A11" t="inlineStr">
        <is>
          <t>Bonds</t>
        </is>
      </c>
      <c r="B11" s="9" t="n">
        <v>1445.630176063648</v>
      </c>
    </row>
    <row r="12">
      <c r="A12" t="inlineStr">
        <is>
          <t>Equity</t>
        </is>
      </c>
      <c r="B12" s="9" t="n">
        <v>45075.43761600581</v>
      </c>
    </row>
    <row r="13">
      <c r="A13" t="inlineStr">
        <is>
          <t>FX</t>
        </is>
      </c>
      <c r="B13" s="9" t="n">
        <v>846.1086811510902</v>
      </c>
    </row>
    <row r="14">
      <c r="A14" t="inlineStr">
        <is>
          <t>Gold</t>
        </is>
      </c>
      <c r="B14" s="9" t="n">
        <v>8276.262904851646</v>
      </c>
    </row>
    <row r="16">
      <c r="A16" s="3" t="inlineStr">
        <is>
          <t>Collateral (today)</t>
        </is>
      </c>
      <c r="B16" s="3" t="inlineStr">
        <is>
          <t>Price driver</t>
        </is>
      </c>
      <c r="C16" s="3" t="inlineStr">
        <is>
          <t>Units</t>
        </is>
      </c>
      <c r="D16" s="3" t="inlineStr">
        <is>
          <t>Price</t>
        </is>
      </c>
      <c r="E16" s="3" t="inlineStr">
        <is>
          <t>Market value</t>
        </is>
      </c>
      <c r="F16" s="3" t="inlineStr">
        <is>
          <t>Haircut</t>
        </is>
      </c>
      <c r="G16" s="3" t="inlineStr">
        <is>
          <t>Value after haircut</t>
        </is>
      </c>
    </row>
    <row r="17">
      <c r="A17" t="inlineStr">
        <is>
          <t>Cash (INR)</t>
        </is>
      </c>
      <c r="B17" t="inlineStr">
        <is>
          <t>-</t>
        </is>
      </c>
      <c r="E17" s="9" t="n">
        <v>40000</v>
      </c>
      <c r="F17" s="20" t="n">
        <v>0</v>
      </c>
      <c r="G17" s="9">
        <f>E17*(1-F17)</f>
        <v/>
      </c>
    </row>
    <row r="18">
      <c r="A18" t="inlineStr">
        <is>
          <t>Government bonds</t>
        </is>
      </c>
      <c r="B18" t="inlineStr">
        <is>
          <t>SETF10GILT.NS</t>
        </is>
      </c>
      <c r="C18" s="15" t="n">
        <v>114.9425287356322</v>
      </c>
      <c r="D18" s="16" t="n">
        <v>261</v>
      </c>
      <c r="E18" s="9">
        <f>C18*D18</f>
        <v/>
      </c>
      <c r="F18" s="20" t="n">
        <v>0.04</v>
      </c>
      <c r="G18" s="9">
        <f>E18*(1-F18)</f>
        <v/>
      </c>
    </row>
    <row r="19">
      <c r="A19" t="inlineStr">
        <is>
          <t>Nifty 50 ETF units</t>
        </is>
      </c>
      <c r="B19" t="inlineStr">
        <is>
          <t>NIFTYBEES.NS</t>
        </is>
      </c>
      <c r="C19" s="15" t="n">
        <v>116.9590643274854</v>
      </c>
      <c r="D19" s="16" t="n">
        <v>256.5</v>
      </c>
      <c r="E19" s="9">
        <f>C19*D19</f>
        <v/>
      </c>
      <c r="F19" s="20" t="n">
        <v>0.15</v>
      </c>
      <c r="G19" s="9">
        <f>E19*(1-F19)</f>
        <v/>
      </c>
    </row>
    <row r="20">
      <c r="A20" s="8" t="inlineStr">
        <is>
          <t>TOTAL</t>
        </is>
      </c>
      <c r="E20" s="21">
        <f>SUM(E17:E19)</f>
        <v/>
      </c>
      <c r="G20" s="21">
        <f>SUM(G17:G19)</f>
        <v/>
      </c>
    </row>
    <row r="22">
      <c r="A22" t="inlineStr">
        <is>
          <t>Initial margin required (APC blend)</t>
        </is>
      </c>
      <c r="G22" s="9">
        <f>C7</f>
        <v/>
      </c>
    </row>
    <row r="23">
      <c r="A23" s="8" t="inlineStr">
        <is>
          <t>Excess / (shortfall) collateral</t>
        </is>
      </c>
      <c r="G23" s="21">
        <f>G20-G22</f>
        <v/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2" customWidth="1" min="5" max="5"/>
    <col width="20" customWidth="1" min="6" max="6"/>
  </cols>
  <sheetData>
    <row r="1">
      <c r="A1" s="1" t="inlineStr">
        <is>
          <t>Stress tests on today's portfolio</t>
        </is>
      </c>
    </row>
    <row r="2">
      <c r="A2" s="2" t="inlineStr">
        <is>
          <t>As of 2026-10-02  |  compared with 2026-10-01  |  99% confidence  |  all values in INR</t>
        </is>
      </c>
    </row>
    <row r="4">
      <c r="A4" s="3" t="inlineStr">
        <is>
          <t>Scenario</t>
        </is>
      </c>
      <c r="B4" s="3" t="inlineStr">
        <is>
          <t>Type</t>
        </is>
      </c>
      <c r="C4" s="3" t="inlineStr">
        <is>
          <t>P&amp;L</t>
        </is>
      </c>
      <c r="D4" s="3" t="inlineStr">
        <is>
          <t>% of portfolio</t>
        </is>
      </c>
      <c r="E4" s="3" t="inlineStr">
        <is>
          <t>x 1-day VaR</t>
        </is>
      </c>
      <c r="F4" s="3" t="inlineStr">
        <is>
          <t>Covered by collateral</t>
        </is>
      </c>
    </row>
    <row r="5">
      <c r="A5" t="inlineStr">
        <is>
          <t>2008-style crisis</t>
        </is>
      </c>
      <c r="B5" t="inlineStr">
        <is>
          <t>Hypothetical</t>
        </is>
      </c>
      <c r="C5" s="9" t="n">
        <v>-279500</v>
      </c>
      <c r="D5" s="17" t="n">
        <v>-0.2795</v>
      </c>
      <c r="E5" s="22">
        <f>IF(C5&lt;0,-C5/Summary!C6,0)</f>
        <v/>
      </c>
      <c r="F5" s="20">
        <f>IF(C5&lt;0,MIN(1,Summary!C15/-C5),"")</f>
        <v/>
      </c>
    </row>
    <row r="6">
      <c r="A6" t="inlineStr">
        <is>
          <t>COVID-19 crash (Feb-Mar 2020)</t>
        </is>
      </c>
      <c r="B6" t="inlineStr">
        <is>
          <t>Historical</t>
        </is>
      </c>
      <c r="C6" s="9" t="n">
        <v>-262425.7884731939</v>
      </c>
      <c r="D6" s="17" t="n">
        <v>-0.2624257884731939</v>
      </c>
      <c r="E6" s="22">
        <f>IF(C6&lt;0,-C6/Summary!C6,0)</f>
        <v/>
      </c>
      <c r="F6" s="20">
        <f>IF(C6&lt;0,MIN(1,Summary!C15/-C6),"")</f>
        <v/>
      </c>
    </row>
    <row r="7">
      <c r="A7" t="inlineStr">
        <is>
          <t>Equity crash -20%</t>
        </is>
      </c>
      <c r="B7" t="inlineStr">
        <is>
          <t>Hypothetical</t>
        </is>
      </c>
      <c r="C7" s="9" t="n">
        <v>-140500</v>
      </c>
      <c r="D7" s="17" t="n">
        <v>-0.1405</v>
      </c>
      <c r="E7" s="22">
        <f>IF(C7&lt;0,-C7/Summary!C6,0)</f>
        <v/>
      </c>
      <c r="F7" s="20">
        <f>IF(C7&lt;0,MIN(1,Summary!C15/-C7),"")</f>
        <v/>
      </c>
    </row>
    <row r="8">
      <c r="A8" t="inlineStr">
        <is>
          <t>Hedges fail (everything falls)</t>
        </is>
      </c>
      <c r="B8" t="inlineStr">
        <is>
          <t>Hypothetical</t>
        </is>
      </c>
      <c r="C8" s="9" t="n">
        <v>-130000</v>
      </c>
      <c r="D8" s="17" t="n">
        <v>-0.13</v>
      </c>
      <c r="E8" s="22">
        <f>IF(C8&lt;0,-C8/Summary!C6,0)</f>
        <v/>
      </c>
      <c r="F8" s="20">
        <f>IF(C8&lt;0,MIN(1,Summary!C15/-C8),"")</f>
        <v/>
      </c>
    </row>
    <row r="9">
      <c r="A9" t="inlineStr">
        <is>
          <t>FPI sell-off (Sep 2024-Mar 2025)</t>
        </is>
      </c>
      <c r="B9" t="inlineStr">
        <is>
          <t>Historical</t>
        </is>
      </c>
      <c r="C9" s="9" t="n">
        <v>-90626.62352257122</v>
      </c>
      <c r="D9" s="17" t="n">
        <v>-0.09062662352257121</v>
      </c>
      <c r="E9" s="22">
        <f>IF(C9&lt;0,-C9/Summary!C6,0)</f>
        <v/>
      </c>
      <c r="F9" s="20">
        <f>IF(C9&lt;0,MIN(1,Summary!C15/-C9),"")</f>
        <v/>
      </c>
    </row>
    <row r="10">
      <c r="A10" t="inlineStr">
        <is>
          <t>Rate shock (+150bp yields)</t>
        </is>
      </c>
      <c r="B10" t="inlineStr">
        <is>
          <t>Hypothetical</t>
        </is>
      </c>
      <c r="C10" s="9" t="n">
        <v>-88500</v>
      </c>
      <c r="D10" s="17" t="n">
        <v>-0.0885</v>
      </c>
      <c r="E10" s="22">
        <f>IF(C10&lt;0,-C10/Summary!C6,0)</f>
        <v/>
      </c>
      <c r="F10" s="20">
        <f>IF(C10&lt;0,MIN(1,Summary!C15/-C10),"")</f>
        <v/>
      </c>
    </row>
    <row r="11">
      <c r="A11" t="inlineStr">
        <is>
          <t>IL&amp;FS crisis (Aug-Oct 2018)</t>
        </is>
      </c>
      <c r="B11" t="inlineStr">
        <is>
          <t>Historical</t>
        </is>
      </c>
      <c r="C11" s="9" t="n">
        <v>-87264.5667728953</v>
      </c>
      <c r="D11" s="17" t="n">
        <v>-0.08726456677289529</v>
      </c>
      <c r="E11" s="22">
        <f>IF(C11&lt;0,-C11/Summary!C6,0)</f>
        <v/>
      </c>
      <c r="F11" s="20">
        <f>IF(C11&lt;0,MIN(1,Summary!C15/-C11),"")</f>
        <v/>
      </c>
    </row>
    <row r="12">
      <c r="A12" t="inlineStr">
        <is>
          <t>Russia-Ukraine war (Jan-Mar 2022)</t>
        </is>
      </c>
      <c r="B12" t="inlineStr">
        <is>
          <t>Historical</t>
        </is>
      </c>
      <c r="C12" s="9" t="n">
        <v>-83215.24775402067</v>
      </c>
      <c r="D12" s="17" t="n">
        <v>-0.08321524775402067</v>
      </c>
      <c r="E12" s="22">
        <f>IF(C12&lt;0,-C12/Summary!C6,0)</f>
        <v/>
      </c>
      <c r="F12" s="20">
        <f>IF(C12&lt;0,MIN(1,Summary!C15/-C12),"")</f>
        <v/>
      </c>
    </row>
    <row r="13">
      <c r="A13" t="inlineStr">
        <is>
          <t>Election result day (4 Jun 2024)</t>
        </is>
      </c>
      <c r="B13" t="inlineStr">
        <is>
          <t>Historical</t>
        </is>
      </c>
      <c r="C13" s="9" t="n">
        <v>-29738.02857010504</v>
      </c>
      <c r="D13" s="17" t="n">
        <v>-0.02973802857010504</v>
      </c>
      <c r="E13" s="22">
        <f>IF(C13&lt;0,-C13/Summary!C6,0)</f>
        <v/>
      </c>
      <c r="F13" s="20">
        <f>IF(C13&lt;0,MIN(1,Summary!C15/-C13),"")</f>
        <v/>
      </c>
    </row>
    <row r="14">
      <c r="A14" t="inlineStr">
        <is>
          <t>Yen carry-trade unwind (Aug 2024)</t>
        </is>
      </c>
      <c r="B14" t="inlineStr">
        <is>
          <t>Historical</t>
        </is>
      </c>
      <c r="C14" s="9" t="n">
        <v>-29656.88588381084</v>
      </c>
      <c r="D14" s="17" t="n">
        <v>-0.02965688588381083</v>
      </c>
      <c r="E14" s="22">
        <f>IF(C14&lt;0,-C14/Summary!C6,0)</f>
        <v/>
      </c>
      <c r="F14" s="20">
        <f>IF(C14&lt;0,MIN(1,Summary!C15/-C14),"")</f>
        <v/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5" customWidth="1" min="4" max="4"/>
    <col width="15" customWidth="1" min="5" max="5"/>
    <col width="13" customWidth="1" min="6" max="6"/>
    <col width="10" customWidth="1" min="7" max="7"/>
  </cols>
  <sheetData>
    <row r="1">
      <c r="A1" s="1" t="inlineStr">
        <is>
          <t>VaR vs actual P&amp;L, last 60 days</t>
        </is>
      </c>
    </row>
    <row r="2">
      <c r="A2" s="2" t="inlineStr">
        <is>
          <t>As of 2026-10-02  |  compared with 2026-10-01  |  99% confidence  |  all values in INR</t>
        </is>
      </c>
    </row>
    <row r="4">
      <c r="A4" s="3" t="inlineStr">
        <is>
          <t>Date</t>
        </is>
      </c>
      <c r="B4" s="3" t="inlineStr">
        <is>
          <t>Actual P&amp;L</t>
        </is>
      </c>
      <c r="C4" s="3" t="inlineStr">
        <is>
          <t>Loss</t>
        </is>
      </c>
      <c r="D4" s="3" t="inlineStr">
        <is>
          <t>Historical VaR</t>
        </is>
      </c>
      <c r="E4" s="3" t="inlineStr">
        <is>
          <t>Parametric VaR</t>
        </is>
      </c>
      <c r="F4" s="3" t="inlineStr">
        <is>
          <t>EWMA VaR</t>
        </is>
      </c>
      <c r="G4" s="3" t="inlineStr">
        <is>
          <t>Exception</t>
        </is>
      </c>
    </row>
    <row r="5">
      <c r="A5" s="23" t="n">
        <v>46216</v>
      </c>
      <c r="B5" s="9" t="n">
        <v>7453.408224129971</v>
      </c>
      <c r="C5" s="9">
        <f>MAX(0,-B5)</f>
        <v/>
      </c>
      <c r="D5" s="9" t="n">
        <v>18587.36689041127</v>
      </c>
      <c r="E5" s="9" t="n">
        <v>16958.78778636619</v>
      </c>
      <c r="F5" s="9" t="n">
        <v>21379.07491887985</v>
      </c>
      <c r="G5">
        <f>IF(C5&gt;D5,"YES","")</f>
        <v/>
      </c>
    </row>
    <row r="6">
      <c r="A6" s="23" t="n">
        <v>46217</v>
      </c>
      <c r="B6" s="9" t="n">
        <v>-3214.859145304366</v>
      </c>
      <c r="C6" s="9">
        <f>MAX(0,-B6)</f>
        <v/>
      </c>
      <c r="D6" s="9" t="n">
        <v>18587.36689041127</v>
      </c>
      <c r="E6" s="9" t="n">
        <v>16976.7030181929</v>
      </c>
      <c r="F6" s="9" t="n">
        <v>21158.44671803379</v>
      </c>
      <c r="G6">
        <f>IF(C6&gt;D6,"YES","")</f>
        <v/>
      </c>
    </row>
    <row r="7">
      <c r="A7" s="23" t="n">
        <v>46218</v>
      </c>
      <c r="B7" s="9" t="n">
        <v>558.9796261752714</v>
      </c>
      <c r="C7" s="9">
        <f>MAX(0,-B7)</f>
        <v/>
      </c>
      <c r="D7" s="9" t="n">
        <v>18587.36689041127</v>
      </c>
      <c r="E7" s="9" t="n">
        <v>16979.33286184864</v>
      </c>
      <c r="F7" s="9" t="n">
        <v>20595.51152300649</v>
      </c>
      <c r="G7">
        <f>IF(C7&gt;D7,"YES","")</f>
        <v/>
      </c>
    </row>
    <row r="8">
      <c r="A8" s="23" t="n">
        <v>46219</v>
      </c>
      <c r="B8" s="9" t="n">
        <v>683.6256618808267</v>
      </c>
      <c r="C8" s="9">
        <f>MAX(0,-B8)</f>
        <v/>
      </c>
      <c r="D8" s="9" t="n">
        <v>18587.36689041127</v>
      </c>
      <c r="E8" s="9" t="n">
        <v>16971.35586661239</v>
      </c>
      <c r="F8" s="9" t="n">
        <v>19970.62965095207</v>
      </c>
      <c r="G8">
        <f>IF(C8&gt;D8,"YES","")</f>
        <v/>
      </c>
    </row>
    <row r="9">
      <c r="A9" s="23" t="n">
        <v>46220</v>
      </c>
      <c r="B9" s="9" t="n">
        <v>13635.85427612397</v>
      </c>
      <c r="C9" s="9">
        <f>MAX(0,-B9)</f>
        <v/>
      </c>
      <c r="D9" s="9" t="n">
        <v>18587.36689041127</v>
      </c>
      <c r="E9" s="9" t="n">
        <v>16971.46011692491</v>
      </c>
      <c r="F9" s="9" t="n">
        <v>19366.16220975176</v>
      </c>
      <c r="G9">
        <f>IF(C9&gt;D9,"YES","")</f>
        <v/>
      </c>
    </row>
    <row r="10">
      <c r="A10" s="23" t="n">
        <v>46223</v>
      </c>
      <c r="B10" s="9" t="n">
        <v>-10716.35839473379</v>
      </c>
      <c r="C10" s="9">
        <f>MAX(0,-B10)</f>
        <v/>
      </c>
      <c r="D10" s="9" t="n">
        <v>18587.36689041127</v>
      </c>
      <c r="E10" s="9" t="n">
        <v>16944.21644216509</v>
      </c>
      <c r="F10" s="9" t="n">
        <v>20320.46933598684</v>
      </c>
      <c r="G10">
        <f>IF(C10&gt;D10,"YES","")</f>
        <v/>
      </c>
    </row>
    <row r="11">
      <c r="A11" s="23" t="n">
        <v>46224</v>
      </c>
      <c r="B11" s="9" t="n">
        <v>-8234.912382218161</v>
      </c>
      <c r="C11" s="9">
        <f>MAX(0,-B11)</f>
        <v/>
      </c>
      <c r="D11" s="9" t="n">
        <v>18587.36689041127</v>
      </c>
      <c r="E11" s="9" t="n">
        <v>16980.54386181231</v>
      </c>
      <c r="F11" s="9" t="n">
        <v>20626.10996984868</v>
      </c>
      <c r="G11">
        <f>IF(C11&gt;D11,"YES","")</f>
        <v/>
      </c>
    </row>
    <row r="12">
      <c r="A12" s="23" t="n">
        <v>46225</v>
      </c>
      <c r="B12" s="9" t="n">
        <v>-6510.405465948744</v>
      </c>
      <c r="C12" s="9">
        <f>MAX(0,-B12)</f>
        <v/>
      </c>
      <c r="D12" s="9" t="n">
        <v>18587.36689041127</v>
      </c>
      <c r="E12" s="9" t="n">
        <v>17001.79260586473</v>
      </c>
      <c r="F12" s="9" t="n">
        <v>20540.94178633723</v>
      </c>
      <c r="G12">
        <f>IF(C12&gt;D12,"YES","")</f>
        <v/>
      </c>
    </row>
    <row r="13">
      <c r="A13" s="23" t="n">
        <v>46226</v>
      </c>
      <c r="B13" s="9" t="n">
        <v>-2688.906200104407</v>
      </c>
      <c r="C13" s="9">
        <f>MAX(0,-B13)</f>
        <v/>
      </c>
      <c r="D13" s="9" t="n">
        <v>18587.36689041127</v>
      </c>
      <c r="E13" s="9" t="n">
        <v>16985.31103155982</v>
      </c>
      <c r="F13" s="9" t="n">
        <v>20257.7783580309</v>
      </c>
      <c r="G13">
        <f>IF(C13&gt;D13,"YES","")</f>
        <v/>
      </c>
    </row>
    <row r="14">
      <c r="A14" s="23" t="n">
        <v>46227</v>
      </c>
      <c r="B14" s="9" t="n">
        <v>-1264.029143965811</v>
      </c>
      <c r="C14" s="9">
        <f>MAX(0,-B14)</f>
        <v/>
      </c>
      <c r="D14" s="9" t="n">
        <v>18587.36689041127</v>
      </c>
      <c r="E14" s="9" t="n">
        <v>16980.74078314201</v>
      </c>
      <c r="F14" s="9" t="n">
        <v>19700.32180155481</v>
      </c>
      <c r="G14">
        <f>IF(C14&gt;D14,"YES","")</f>
        <v/>
      </c>
    </row>
    <row r="15">
      <c r="A15" s="23" t="n">
        <v>46230</v>
      </c>
      <c r="B15" s="9" t="n">
        <v>8667.717687831466</v>
      </c>
      <c r="C15" s="9">
        <f>MAX(0,-B15)</f>
        <v/>
      </c>
      <c r="D15" s="9" t="n">
        <v>18587.36689041127</v>
      </c>
      <c r="E15" s="9" t="n">
        <v>16977.8553552294</v>
      </c>
      <c r="F15" s="9" t="n">
        <v>19113.74730367344</v>
      </c>
      <c r="G15">
        <f>IF(C15&gt;D15,"YES","")</f>
        <v/>
      </c>
    </row>
    <row r="16">
      <c r="A16" s="23" t="n">
        <v>46231</v>
      </c>
      <c r="B16" s="9" t="n">
        <v>4449.118518194451</v>
      </c>
      <c r="C16" s="9">
        <f>MAX(0,-B16)</f>
        <v/>
      </c>
      <c r="D16" s="9" t="n">
        <v>18587.36689041127</v>
      </c>
      <c r="E16" s="9" t="n">
        <v>16993.80756014148</v>
      </c>
      <c r="F16" s="9" t="n">
        <v>19178.39242377265</v>
      </c>
      <c r="G16">
        <f>IF(C16&gt;D16,"YES","")</f>
        <v/>
      </c>
    </row>
    <row r="17">
      <c r="A17" s="23" t="n">
        <v>46232</v>
      </c>
      <c r="B17" s="9" t="n">
        <v>12353.77258527992</v>
      </c>
      <c r="C17" s="9">
        <f>MAX(0,-B17)</f>
        <v/>
      </c>
      <c r="D17" s="9" t="n">
        <v>18587.36689041127</v>
      </c>
      <c r="E17" s="9" t="n">
        <v>16999.34965614122</v>
      </c>
      <c r="F17" s="9" t="n">
        <v>18766.18466773128</v>
      </c>
      <c r="G17">
        <f>IF(C17&gt;D17,"YES","")</f>
        <v/>
      </c>
    </row>
    <row r="18">
      <c r="A18" s="23" t="n">
        <v>46233</v>
      </c>
      <c r="B18" s="9" t="n">
        <v>3179.861359886599</v>
      </c>
      <c r="C18" s="9">
        <f>MAX(0,-B18)</f>
        <v/>
      </c>
      <c r="D18" s="9" t="n">
        <v>18587.36689041127</v>
      </c>
      <c r="E18" s="9" t="n">
        <v>17048.37624747963</v>
      </c>
      <c r="F18" s="9" t="n">
        <v>19508.86742572143</v>
      </c>
      <c r="G18">
        <f>IF(C18&gt;D18,"YES","")</f>
        <v/>
      </c>
    </row>
    <row r="19">
      <c r="A19" s="23" t="n">
        <v>46234</v>
      </c>
      <c r="B19" s="9" t="n">
        <v>-4787.38624720107</v>
      </c>
      <c r="C19" s="9">
        <f>MAX(0,-B19)</f>
        <v/>
      </c>
      <c r="D19" s="9" t="n">
        <v>18587.36689041127</v>
      </c>
      <c r="E19" s="9" t="n">
        <v>17010.90017745369</v>
      </c>
      <c r="F19" s="9" t="n">
        <v>19001.14475247715</v>
      </c>
      <c r="G19">
        <f>IF(C19&gt;D19,"YES","")</f>
        <v/>
      </c>
    </row>
    <row r="20">
      <c r="A20" s="23" t="n">
        <v>46237</v>
      </c>
      <c r="B20" s="9" t="n">
        <v>15090.13647214978</v>
      </c>
      <c r="C20" s="9">
        <f>MAX(0,-B20)</f>
        <v/>
      </c>
      <c r="D20" s="9" t="n">
        <v>18587.36689041127</v>
      </c>
      <c r="E20" s="9" t="n">
        <v>17016.60447147081</v>
      </c>
      <c r="F20" s="9" t="n">
        <v>18623.18517547393</v>
      </c>
      <c r="G20">
        <f>IF(C20&gt;D20,"YES","")</f>
        <v/>
      </c>
    </row>
    <row r="21">
      <c r="A21" s="23" t="n">
        <v>46238</v>
      </c>
      <c r="B21" s="9" t="n">
        <v>-8680.479643936023</v>
      </c>
      <c r="C21" s="9">
        <f>MAX(0,-B21)</f>
        <v/>
      </c>
      <c r="D21" s="9" t="n">
        <v>18587.36689041127</v>
      </c>
      <c r="E21" s="9" t="n">
        <v>17089.44011306679</v>
      </c>
      <c r="F21" s="9" t="n">
        <v>19998.87281390494</v>
      </c>
      <c r="G21">
        <f>IF(C21&gt;D21,"YES","")</f>
        <v/>
      </c>
    </row>
    <row r="22">
      <c r="A22" s="23" t="n">
        <v>46239</v>
      </c>
      <c r="B22" s="9" t="n">
        <v>-2771.633367204185</v>
      </c>
      <c r="C22" s="9">
        <f>MAX(0,-B22)</f>
        <v/>
      </c>
      <c r="D22" s="9" t="n">
        <v>18587.36689041127</v>
      </c>
      <c r="E22" s="9" t="n">
        <v>17113.10011856704</v>
      </c>
      <c r="F22" s="9" t="n">
        <v>20010.62292227987</v>
      </c>
      <c r="G22">
        <f>IF(C22&gt;D22,"YES","")</f>
        <v/>
      </c>
    </row>
    <row r="23">
      <c r="A23" s="23" t="n">
        <v>46240</v>
      </c>
      <c r="B23" s="9" t="n">
        <v>6723.726879330045</v>
      </c>
      <c r="C23" s="9">
        <f>MAX(0,-B23)</f>
        <v/>
      </c>
      <c r="D23" s="9" t="n">
        <v>18587.36689041127</v>
      </c>
      <c r="E23" s="9" t="n">
        <v>17110.28804775453</v>
      </c>
      <c r="F23" s="9" t="n">
        <v>19465.19875555268</v>
      </c>
      <c r="G23">
        <f>IF(C23&gt;D23,"YES","")</f>
        <v/>
      </c>
    </row>
    <row r="24">
      <c r="A24" s="23" t="n">
        <v>46241</v>
      </c>
      <c r="B24" s="9" t="n">
        <v>7516.58246445535</v>
      </c>
      <c r="C24" s="9">
        <f>MAX(0,-B24)</f>
        <v/>
      </c>
      <c r="D24" s="9" t="n">
        <v>18587.36689041127</v>
      </c>
      <c r="E24" s="9" t="n">
        <v>17113.17603434606</v>
      </c>
      <c r="F24" s="9" t="n">
        <v>19257.21017237181</v>
      </c>
      <c r="G24">
        <f>IF(C24&gt;D24,"YES","")</f>
        <v/>
      </c>
    </row>
    <row r="25">
      <c r="A25" s="23" t="n">
        <v>46244</v>
      </c>
      <c r="B25" s="9" t="n">
        <v>-1045.657006054873</v>
      </c>
      <c r="C25" s="9">
        <f>MAX(0,-B25)</f>
        <v/>
      </c>
      <c r="D25" s="9" t="n">
        <v>18340.14153706401</v>
      </c>
      <c r="E25" s="9" t="n">
        <v>16951.5258948529</v>
      </c>
      <c r="F25" s="9" t="n">
        <v>19155.5667181064</v>
      </c>
      <c r="G25">
        <f>IF(C25&gt;D25,"YES","")</f>
        <v/>
      </c>
    </row>
    <row r="26">
      <c r="A26" s="23" t="n">
        <v>46245</v>
      </c>
      <c r="B26" s="9" t="n">
        <v>1121.03504241356</v>
      </c>
      <c r="C26" s="9">
        <f>MAX(0,-B26)</f>
        <v/>
      </c>
      <c r="D26" s="9" t="n">
        <v>18340.14153706401</v>
      </c>
      <c r="E26" s="9" t="n">
        <v>16951.61050279626</v>
      </c>
      <c r="F26" s="9" t="n">
        <v>18581.56703762173</v>
      </c>
      <c r="G26">
        <f>IF(C26&gt;D26,"YES","")</f>
        <v/>
      </c>
    </row>
    <row r="27">
      <c r="A27" s="23" t="n">
        <v>46246</v>
      </c>
      <c r="B27" s="9" t="n">
        <v>-6275.714159622175</v>
      </c>
      <c r="C27" s="9">
        <f>MAX(0,-B27)</f>
        <v/>
      </c>
      <c r="D27" s="9" t="n">
        <v>18340.14153706401</v>
      </c>
      <c r="E27" s="9" t="n">
        <v>16931.35370729337</v>
      </c>
      <c r="F27" s="9" t="n">
        <v>18026.8197299622</v>
      </c>
      <c r="G27">
        <f>IF(C27&gt;D27,"YES","")</f>
        <v/>
      </c>
    </row>
    <row r="28">
      <c r="A28" s="23" t="n">
        <v>46247</v>
      </c>
      <c r="B28" s="9" t="n">
        <v>-1603.164438384019</v>
      </c>
      <c r="C28" s="9">
        <f>MAX(0,-B28)</f>
        <v/>
      </c>
      <c r="D28" s="9" t="n">
        <v>18340.14153706401</v>
      </c>
      <c r="E28" s="9" t="n">
        <v>16934.19360727783</v>
      </c>
      <c r="F28" s="9" t="n">
        <v>17839.75812109601</v>
      </c>
      <c r="G28">
        <f>IF(C28&gt;D28,"YES","")</f>
        <v/>
      </c>
    </row>
    <row r="29">
      <c r="A29" s="23" t="n">
        <v>46248</v>
      </c>
      <c r="B29" s="9" t="n">
        <v>-2076.254492484547</v>
      </c>
      <c r="C29" s="9">
        <f>MAX(0,-B29)</f>
        <v/>
      </c>
      <c r="D29" s="9" t="n">
        <v>18340.14153706401</v>
      </c>
      <c r="E29" s="9" t="n">
        <v>16898.46916993762</v>
      </c>
      <c r="F29" s="9" t="n">
        <v>17320.39578019756</v>
      </c>
      <c r="G29">
        <f>IF(C29&gt;D29,"YES","")</f>
        <v/>
      </c>
    </row>
    <row r="30">
      <c r="A30" s="23" t="n">
        <v>46251</v>
      </c>
      <c r="B30" s="9" t="n">
        <v>-3802.682317175481</v>
      </c>
      <c r="C30" s="9">
        <f>MAX(0,-B30)</f>
        <v/>
      </c>
      <c r="D30" s="9" t="n">
        <v>18340.14153706401</v>
      </c>
      <c r="E30" s="9" t="n">
        <v>16899.82495722348</v>
      </c>
      <c r="F30" s="9" t="n">
        <v>16834.37345666204</v>
      </c>
      <c r="G30">
        <f>IF(C30&gt;D30,"YES","")</f>
        <v/>
      </c>
    </row>
    <row r="31">
      <c r="A31" s="23" t="n">
        <v>46252</v>
      </c>
      <c r="B31" s="9" t="n">
        <v>-5734.36164114004</v>
      </c>
      <c r="C31" s="9">
        <f>MAX(0,-B31)</f>
        <v/>
      </c>
      <c r="D31" s="9" t="n">
        <v>18340.14153706401</v>
      </c>
      <c r="E31" s="9" t="n">
        <v>16896.75608920682</v>
      </c>
      <c r="F31" s="9" t="n">
        <v>16464.74564198658</v>
      </c>
      <c r="G31">
        <f>IF(C31&gt;D31,"YES","")</f>
        <v/>
      </c>
    </row>
    <row r="32">
      <c r="A32" s="23" t="n">
        <v>46253</v>
      </c>
      <c r="B32" s="9" t="n">
        <v>-2554.013719357218</v>
      </c>
      <c r="C32" s="9">
        <f>MAX(0,-B32)</f>
        <v/>
      </c>
      <c r="D32" s="9" t="n">
        <v>18340.14153706401</v>
      </c>
      <c r="E32" s="9" t="n">
        <v>16898.47470018141</v>
      </c>
      <c r="F32" s="9" t="n">
        <v>16294.17399653716</v>
      </c>
      <c r="G32">
        <f>IF(C32&gt;D32,"YES","")</f>
        <v/>
      </c>
    </row>
    <row r="33">
      <c r="A33" s="23" t="n">
        <v>46254</v>
      </c>
      <c r="B33" s="9" t="n">
        <v>6212.513845377188</v>
      </c>
      <c r="C33" s="9">
        <f>MAX(0,-B33)</f>
        <v/>
      </c>
      <c r="D33" s="9" t="n">
        <v>18340.14153706401</v>
      </c>
      <c r="E33" s="9" t="n">
        <v>16844.98886639764</v>
      </c>
      <c r="F33" s="9" t="n">
        <v>15864.68413103899</v>
      </c>
      <c r="G33">
        <f>IF(C33&gt;D33,"YES","")</f>
        <v/>
      </c>
    </row>
    <row r="34">
      <c r="A34" s="23" t="n">
        <v>46255</v>
      </c>
      <c r="B34" s="9" t="n">
        <v>2236.518701078827</v>
      </c>
      <c r="C34" s="9">
        <f>MAX(0,-B34)</f>
        <v/>
      </c>
      <c r="D34" s="9" t="n">
        <v>18340.14153706401</v>
      </c>
      <c r="E34" s="9" t="n">
        <v>16843.03107735784</v>
      </c>
      <c r="F34" s="9" t="n">
        <v>15783.51484789281</v>
      </c>
      <c r="G34">
        <f>IF(C34&gt;D34,"YES","")</f>
        <v/>
      </c>
    </row>
    <row r="35">
      <c r="A35" s="23" t="n">
        <v>46258</v>
      </c>
      <c r="B35" s="9" t="n">
        <v>-172.3581181321874</v>
      </c>
      <c r="C35" s="9">
        <f>MAX(0,-B35)</f>
        <v/>
      </c>
      <c r="D35" s="9" t="n">
        <v>18340.14153706401</v>
      </c>
      <c r="E35" s="9" t="n">
        <v>16838.64428565297</v>
      </c>
      <c r="F35" s="9" t="n">
        <v>15355.66356156967</v>
      </c>
      <c r="G35">
        <f>IF(C35&gt;D35,"YES","")</f>
        <v/>
      </c>
    </row>
    <row r="36">
      <c r="A36" s="23" t="n">
        <v>46259</v>
      </c>
      <c r="B36" s="9" t="n">
        <v>3188.45325992832</v>
      </c>
      <c r="C36" s="9">
        <f>MAX(0,-B36)</f>
        <v/>
      </c>
      <c r="D36" s="9" t="n">
        <v>18340.14153706401</v>
      </c>
      <c r="E36" s="9" t="n">
        <v>16838.64643356458</v>
      </c>
      <c r="F36" s="9" t="n">
        <v>14888.19215298551</v>
      </c>
      <c r="G36">
        <f>IF(C36&gt;D36,"YES","")</f>
        <v/>
      </c>
    </row>
    <row r="37">
      <c r="A37" s="23" t="n">
        <v>46260</v>
      </c>
      <c r="B37" s="9" t="n">
        <v>-8159.216880983966</v>
      </c>
      <c r="C37" s="9">
        <f>MAX(0,-B37)</f>
        <v/>
      </c>
      <c r="D37" s="9" t="n">
        <v>18340.14153706401</v>
      </c>
      <c r="E37" s="9" t="n">
        <v>16842.0590040167</v>
      </c>
      <c r="F37" s="9" t="n">
        <v>14548.53548716393</v>
      </c>
      <c r="G37">
        <f>IF(C37&gt;D37,"YES","")</f>
        <v/>
      </c>
    </row>
    <row r="38">
      <c r="A38" s="23" t="n">
        <v>46261</v>
      </c>
      <c r="B38" s="9" t="n">
        <v>-9210.094729408274</v>
      </c>
      <c r="C38" s="9">
        <f>MAX(0,-B38)</f>
        <v/>
      </c>
      <c r="D38" s="9" t="n">
        <v>18340.14153706401</v>
      </c>
      <c r="E38" s="9" t="n">
        <v>16860.72880849086</v>
      </c>
      <c r="F38" s="9" t="n">
        <v>14851.8482417869</v>
      </c>
      <c r="G38">
        <f>IF(C38&gt;D38,"YES","")</f>
        <v/>
      </c>
    </row>
    <row r="39">
      <c r="A39" s="23" t="n">
        <v>46262</v>
      </c>
      <c r="B39" s="9" t="n">
        <v>12220.63489297908</v>
      </c>
      <c r="C39" s="9">
        <f>MAX(0,-B39)</f>
        <v/>
      </c>
      <c r="D39" s="9" t="n">
        <v>18340.14153706401</v>
      </c>
      <c r="E39" s="9" t="n">
        <v>16870.14906370167</v>
      </c>
      <c r="F39" s="9" t="n">
        <v>15326.0191664595</v>
      </c>
      <c r="G39">
        <f>IF(C39&gt;D39,"YES","")</f>
        <v/>
      </c>
    </row>
    <row r="40">
      <c r="A40" s="23" t="n">
        <v>46265</v>
      </c>
      <c r="B40" s="9" t="n">
        <v>-4126.812136656315</v>
      </c>
      <c r="C40" s="9">
        <f>MAX(0,-B40)</f>
        <v/>
      </c>
      <c r="D40" s="9" t="n">
        <v>18340.14153706401</v>
      </c>
      <c r="E40" s="9" t="n">
        <v>16918.40981642579</v>
      </c>
      <c r="F40" s="9" t="n">
        <v>16409.98666987803</v>
      </c>
      <c r="G40">
        <f>IF(C40&gt;D40,"YES","")</f>
        <v/>
      </c>
    </row>
    <row r="41">
      <c r="A41" s="23" t="n">
        <v>46266</v>
      </c>
      <c r="B41" s="9" t="n">
        <v>2668.38730635704</v>
      </c>
      <c r="C41" s="9">
        <f>MAX(0,-B41)</f>
        <v/>
      </c>
      <c r="D41" s="9" t="n">
        <v>18340.14153706401</v>
      </c>
      <c r="E41" s="9" t="n">
        <v>16921.73630960132</v>
      </c>
      <c r="F41" s="9" t="n">
        <v>16082.92461907753</v>
      </c>
      <c r="G41">
        <f>IF(C41&gt;D41,"YES","")</f>
        <v/>
      </c>
    </row>
    <row r="42">
      <c r="A42" s="23" t="n">
        <v>46267</v>
      </c>
      <c r="B42" s="9" t="n">
        <v>-6204.04619457175</v>
      </c>
      <c r="C42" s="9">
        <f>MAX(0,-B42)</f>
        <v/>
      </c>
      <c r="D42" s="9" t="n">
        <v>18340.14153706401</v>
      </c>
      <c r="E42" s="9" t="n">
        <v>16919.4728562201</v>
      </c>
      <c r="F42" s="9" t="n">
        <v>15666.93627286032</v>
      </c>
      <c r="G42">
        <f>IF(C42&gt;D42,"YES","")</f>
        <v/>
      </c>
    </row>
    <row r="43">
      <c r="A43" s="23" t="n">
        <v>46268</v>
      </c>
      <c r="B43" s="9" t="n">
        <v>-1020.60930173492</v>
      </c>
      <c r="C43" s="9">
        <f>MAX(0,-B43)</f>
        <v/>
      </c>
      <c r="D43" s="9" t="n">
        <v>18340.14153706401</v>
      </c>
      <c r="E43" s="9" t="n">
        <v>16931.28854589317</v>
      </c>
      <c r="F43" s="9" t="n">
        <v>15595.64070748697</v>
      </c>
      <c r="G43">
        <f>IF(C43&gt;D43,"YES","")</f>
        <v/>
      </c>
    </row>
    <row r="44">
      <c r="A44" s="23" t="n">
        <v>46269</v>
      </c>
      <c r="B44" s="9" t="n">
        <v>3899.986615639317</v>
      </c>
      <c r="C44" s="9">
        <f>MAX(0,-B44)</f>
        <v/>
      </c>
      <c r="D44" s="9" t="n">
        <v>18340.14153706401</v>
      </c>
      <c r="E44" s="9" t="n">
        <v>16931.47282581048</v>
      </c>
      <c r="F44" s="9" t="n">
        <v>15131.71518242598</v>
      </c>
      <c r="G44">
        <f>IF(C44&gt;D44,"YES","")</f>
        <v/>
      </c>
    </row>
    <row r="45">
      <c r="A45" s="23" t="n">
        <v>46272</v>
      </c>
      <c r="B45" s="9" t="n">
        <v>-10534.31036317576</v>
      </c>
      <c r="C45" s="9">
        <f>MAX(0,-B45)</f>
        <v/>
      </c>
      <c r="D45" s="9" t="n">
        <v>18340.14153706401</v>
      </c>
      <c r="E45" s="9" t="n">
        <v>16936.36878841059</v>
      </c>
      <c r="F45" s="9" t="n">
        <v>14838.1109666532</v>
      </c>
      <c r="G45">
        <f>IF(C45&gt;D45,"YES","")</f>
        <v/>
      </c>
    </row>
    <row r="46">
      <c r="A46" s="23" t="n">
        <v>46273</v>
      </c>
      <c r="B46" s="9" t="n">
        <v>-5033.468383318141</v>
      </c>
      <c r="C46" s="9">
        <f>MAX(0,-B46)</f>
        <v/>
      </c>
      <c r="D46" s="9" t="n">
        <v>18340.14153706401</v>
      </c>
      <c r="E46" s="9" t="n">
        <v>16970.27599344145</v>
      </c>
      <c r="F46" s="9" t="n">
        <v>15588.24527231197</v>
      </c>
      <c r="G46">
        <f>IF(C46&gt;D46,"YES","")</f>
        <v/>
      </c>
    </row>
    <row r="47">
      <c r="A47" s="23" t="n">
        <v>46274</v>
      </c>
      <c r="B47" s="9" t="n">
        <v>-14595.94254018103</v>
      </c>
      <c r="C47" s="9">
        <f>MAX(0,-B47)</f>
        <v/>
      </c>
      <c r="D47" s="9" t="n">
        <v>18340.14153706401</v>
      </c>
      <c r="E47" s="9" t="n">
        <v>16977.6992096876</v>
      </c>
      <c r="F47" s="9" t="n">
        <v>15383.12936345917</v>
      </c>
      <c r="G47">
        <f>IF(C47&gt;D47,"YES","")</f>
        <v/>
      </c>
    </row>
    <row r="48">
      <c r="A48" s="23" t="n">
        <v>46275</v>
      </c>
      <c r="B48" s="9" t="n">
        <v>612.3760222745357</v>
      </c>
      <c r="C48" s="9">
        <f>MAX(0,-B48)</f>
        <v/>
      </c>
      <c r="D48" s="9" t="n">
        <v>18340.14153706401</v>
      </c>
      <c r="E48" s="9" t="n">
        <v>17022.42674368412</v>
      </c>
      <c r="F48" s="9" t="n">
        <v>17076.8769938732</v>
      </c>
      <c r="G48">
        <f>IF(C48&gt;D48,"YES","")</f>
        <v/>
      </c>
    </row>
    <row r="49">
      <c r="A49" s="23" t="n">
        <v>46276</v>
      </c>
      <c r="B49" s="9" t="n">
        <v>-330.3277863809408</v>
      </c>
      <c r="C49" s="9">
        <f>MAX(0,-B49)</f>
        <v/>
      </c>
      <c r="D49" s="9" t="n">
        <v>18340.14153706401</v>
      </c>
      <c r="E49" s="9" t="n">
        <v>17022.48966307168</v>
      </c>
      <c r="F49" s="9" t="n">
        <v>16560.32346432574</v>
      </c>
      <c r="G49">
        <f>IF(C49&gt;D49,"YES","")</f>
        <v/>
      </c>
    </row>
    <row r="50">
      <c r="A50" s="23" t="n">
        <v>46279</v>
      </c>
      <c r="B50" s="9" t="n">
        <v>-345.7382560769495</v>
      </c>
      <c r="C50" s="9">
        <f>MAX(0,-B50)</f>
        <v/>
      </c>
      <c r="D50" s="9" t="n">
        <v>18340.14153706401</v>
      </c>
      <c r="E50" s="9" t="n">
        <v>17016.29140554812</v>
      </c>
      <c r="F50" s="9" t="n">
        <v>16056.93264760883</v>
      </c>
      <c r="G50">
        <f>IF(C50&gt;D50,"YES","")</f>
        <v/>
      </c>
    </row>
    <row r="51">
      <c r="A51" s="23" t="n">
        <v>46280</v>
      </c>
      <c r="B51" s="9" t="n">
        <v>3134.582711090833</v>
      </c>
      <c r="C51" s="9">
        <f>MAX(0,-B51)</f>
        <v/>
      </c>
      <c r="D51" s="9" t="n">
        <v>18340.14153706401</v>
      </c>
      <c r="E51" s="9" t="n">
        <v>17013.15049194847</v>
      </c>
      <c r="F51" s="9" t="n">
        <v>15569.0203775311</v>
      </c>
      <c r="G51">
        <f>IF(C51&gt;D51,"YES","")</f>
        <v/>
      </c>
    </row>
    <row r="52">
      <c r="A52" s="23" t="n">
        <v>46281</v>
      </c>
      <c r="B52" s="9" t="n">
        <v>-3028.81033457501</v>
      </c>
      <c r="C52" s="9">
        <f>MAX(0,-B52)</f>
        <v/>
      </c>
      <c r="D52" s="9" t="n">
        <v>18340.14153706401</v>
      </c>
      <c r="E52" s="9" t="n">
        <v>16971.59717387439</v>
      </c>
      <c r="F52" s="9" t="n">
        <v>15200.04082984423</v>
      </c>
      <c r="G52">
        <f>IF(C52&gt;D52,"YES","")</f>
        <v/>
      </c>
    </row>
    <row r="53">
      <c r="A53" s="23" t="n">
        <v>46282</v>
      </c>
      <c r="B53" s="9" t="n">
        <v>-1322.438281921024</v>
      </c>
      <c r="C53" s="9">
        <f>MAX(0,-B53)</f>
        <v/>
      </c>
      <c r="D53" s="9" t="n">
        <v>18340.14153706401</v>
      </c>
      <c r="E53" s="9" t="n">
        <v>16973.28364585357</v>
      </c>
      <c r="F53" s="9" t="n">
        <v>14837.70837858472</v>
      </c>
      <c r="G53">
        <f>IF(C53&gt;D53,"YES","")</f>
        <v/>
      </c>
    </row>
    <row r="54">
      <c r="A54" s="23" t="n">
        <v>46283</v>
      </c>
      <c r="B54" s="9" t="n">
        <v>-3464.340430844105</v>
      </c>
      <c r="C54" s="9">
        <f>MAX(0,-B54)</f>
        <v/>
      </c>
      <c r="D54" s="9" t="n">
        <v>18340.14153706401</v>
      </c>
      <c r="E54" s="9" t="n">
        <v>16973.23289585564</v>
      </c>
      <c r="F54" s="9" t="n">
        <v>14405.41591752486</v>
      </c>
      <c r="G54">
        <f>IF(C54&gt;D54,"YES","")</f>
        <v/>
      </c>
    </row>
    <row r="55">
      <c r="A55" s="23" t="n">
        <v>46286</v>
      </c>
      <c r="B55" s="9" t="n">
        <v>5646.48560840143</v>
      </c>
      <c r="C55" s="9">
        <f>MAX(0,-B55)</f>
        <v/>
      </c>
      <c r="D55" s="9" t="n">
        <v>18340.14153706401</v>
      </c>
      <c r="E55" s="9" t="n">
        <v>16976.6819063792</v>
      </c>
      <c r="F55" s="9" t="n">
        <v>14105.3943071367</v>
      </c>
      <c r="G55">
        <f>IF(C55&gt;D55,"YES","")</f>
        <v/>
      </c>
    </row>
    <row r="56">
      <c r="A56" s="23" t="n">
        <v>46287</v>
      </c>
      <c r="B56" s="9" t="n">
        <v>-4917.635669316045</v>
      </c>
      <c r="C56" s="9">
        <f>MAX(0,-B56)</f>
        <v/>
      </c>
      <c r="D56" s="9" t="n">
        <v>18340.14153706401</v>
      </c>
      <c r="E56" s="9" t="n">
        <v>16972.29579545748</v>
      </c>
      <c r="F56" s="9" t="n">
        <v>14049.09963033903</v>
      </c>
      <c r="G56">
        <f>IF(C56&gt;D56,"YES","")</f>
        <v/>
      </c>
    </row>
    <row r="57">
      <c r="A57" s="23" t="n">
        <v>46288</v>
      </c>
      <c r="B57" s="9" t="n">
        <v>-300.133918562173</v>
      </c>
      <c r="C57" s="9">
        <f>MAX(0,-B57)</f>
        <v/>
      </c>
      <c r="D57" s="9" t="n">
        <v>18340.14153706401</v>
      </c>
      <c r="E57" s="9" t="n">
        <v>16979.0908764371</v>
      </c>
      <c r="F57" s="9" t="n">
        <v>13906.37136805868</v>
      </c>
      <c r="G57">
        <f>IF(C57&gt;D57,"YES","")</f>
        <v/>
      </c>
    </row>
    <row r="58">
      <c r="A58" s="23" t="n">
        <v>46289</v>
      </c>
      <c r="B58" s="9" t="n">
        <v>-10209.53057964608</v>
      </c>
      <c r="C58" s="9">
        <f>MAX(0,-B58)</f>
        <v/>
      </c>
      <c r="D58" s="9" t="n">
        <v>18340.14153706401</v>
      </c>
      <c r="E58" s="9" t="n">
        <v>16960.96715474537</v>
      </c>
      <c r="F58" s="9" t="n">
        <v>13483.81196381958</v>
      </c>
      <c r="G58">
        <f>IF(C58&gt;D58,"YES","")</f>
        <v/>
      </c>
    </row>
    <row r="59">
      <c r="A59" s="23" t="n">
        <v>46290</v>
      </c>
      <c r="B59" s="9" t="n">
        <v>1511.72767841915</v>
      </c>
      <c r="C59" s="9">
        <f>MAX(0,-B59)</f>
        <v/>
      </c>
      <c r="D59" s="9" t="n">
        <v>18340.14153706401</v>
      </c>
      <c r="E59" s="9" t="n">
        <v>16989.26664572773</v>
      </c>
      <c r="F59" s="9" t="n">
        <v>14309.11476419033</v>
      </c>
      <c r="G59">
        <f>IF(C59&gt;D59,"YES","")</f>
        <v/>
      </c>
    </row>
    <row r="60">
      <c r="A60" s="23" t="n">
        <v>46293</v>
      </c>
      <c r="B60" s="9" t="n">
        <v>-14100.04822803871</v>
      </c>
      <c r="C60" s="9">
        <f>MAX(0,-B60)</f>
        <v/>
      </c>
      <c r="D60" s="9" t="n">
        <v>18340.14153706401</v>
      </c>
      <c r="E60" s="9" t="n">
        <v>16989.85295144831</v>
      </c>
      <c r="F60" s="9" t="n">
        <v>13899.92065573908</v>
      </c>
      <c r="G60">
        <f>IF(C60&gt;D60,"YES","")</f>
        <v/>
      </c>
    </row>
    <row r="61">
      <c r="A61" s="23" t="n">
        <v>46294</v>
      </c>
      <c r="B61" s="9" t="n">
        <v>-3884.879270775615</v>
      </c>
      <c r="C61" s="9">
        <f>MAX(0,-B61)</f>
        <v/>
      </c>
      <c r="D61" s="9" t="n">
        <v>18340.14153706401</v>
      </c>
      <c r="E61" s="9" t="n">
        <v>17047.93847230313</v>
      </c>
      <c r="F61" s="9" t="n">
        <v>15689.87227842448</v>
      </c>
      <c r="G61">
        <f>IF(C61&gt;D61,"YES","")</f>
        <v/>
      </c>
    </row>
    <row r="62">
      <c r="A62" s="23" t="n">
        <v>46295</v>
      </c>
      <c r="B62" s="9" t="n">
        <v>-2547.677297681367</v>
      </c>
      <c r="C62" s="9">
        <f>MAX(0,-B62)</f>
        <v/>
      </c>
      <c r="D62" s="9" t="n">
        <v>18340.14153706401</v>
      </c>
      <c r="E62" s="9" t="n">
        <v>17048.94152321315</v>
      </c>
      <c r="F62" s="9" t="n">
        <v>15372.13187582597</v>
      </c>
      <c r="G62">
        <f>IF(C62&gt;D62,"YES","")</f>
        <v/>
      </c>
    </row>
    <row r="63">
      <c r="A63" s="23" t="n">
        <v>46296</v>
      </c>
      <c r="B63" s="9" t="n">
        <v>3615.626148835999</v>
      </c>
      <c r="C63" s="9">
        <f>MAX(0,-B63)</f>
        <v/>
      </c>
      <c r="D63" s="9" t="n">
        <v>18340.14153706401</v>
      </c>
      <c r="E63" s="9" t="n">
        <v>17049.32803327965</v>
      </c>
      <c r="F63" s="9" t="n">
        <v>14974.37471082399</v>
      </c>
      <c r="G63">
        <f>IF(C63&gt;D63,"YES","")</f>
        <v/>
      </c>
    </row>
    <row r="64">
      <c r="A64" s="23" t="n">
        <v>46297</v>
      </c>
      <c r="B64" s="9" t="n">
        <v>155.1693791880693</v>
      </c>
      <c r="C64" s="9">
        <f>MAX(0,-B64)</f>
        <v/>
      </c>
      <c r="D64" s="9" t="n">
        <v>18340.14153706401</v>
      </c>
      <c r="E64" s="9" t="n">
        <v>17000.51352734345</v>
      </c>
      <c r="F64" s="9" t="n">
        <v>14663.65866595768</v>
      </c>
      <c r="G64">
        <f>IF(C64&gt;D64,"YES","")</f>
        <v/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Historical VaR backtest, last 250 days</t>
        </is>
      </c>
    </row>
    <row r="2">
      <c r="A2" s="2" t="inlineStr">
        <is>
          <t>As of 2026-10-02  |  compared with 2026-10-01  |  99% confidence  |  all values in INR</t>
        </is>
      </c>
    </row>
    <row r="4">
      <c r="A4" s="8" t="inlineStr">
        <is>
          <t>Exceptions</t>
        </is>
      </c>
      <c r="B4" t="n">
        <v>5</v>
      </c>
    </row>
    <row r="5">
      <c r="A5" s="8" t="inlineStr">
        <is>
          <t>Expected</t>
        </is>
      </c>
      <c r="B5" t="n">
        <v>2.5</v>
      </c>
    </row>
    <row r="6">
      <c r="A6" s="8" t="inlineStr">
        <is>
          <t>Basel zone</t>
        </is>
      </c>
      <c r="B6" s="10" t="inlineStr">
        <is>
          <t>YELLOW</t>
        </is>
      </c>
    </row>
    <row r="7">
      <c r="A7" s="8" t="inlineStr">
        <is>
          <t>Kupiec p-value</t>
        </is>
      </c>
      <c r="B7" t="n">
        <v>0.162</v>
      </c>
    </row>
    <row r="8">
      <c r="A8" s="8" t="inlineStr">
        <is>
          <t>Christoffersen p-value</t>
        </is>
      </c>
      <c r="B8" t="n">
        <v>0.651</v>
      </c>
    </row>
    <row r="10">
      <c r="A10" s="3" t="inlineStr">
        <is>
          <t>Exception date</t>
        </is>
      </c>
      <c r="B10" s="3" t="inlineStr">
        <is>
          <t>Actual P&amp;L</t>
        </is>
      </c>
      <c r="C10" s="3" t="inlineStr">
        <is>
          <t>VaR forecast</t>
        </is>
      </c>
      <c r="D10" s="3" t="inlineStr">
        <is>
          <t>Excess loss</t>
        </is>
      </c>
    </row>
    <row r="11">
      <c r="A11" s="23" t="n">
        <v>46065</v>
      </c>
      <c r="B11" s="9" t="n">
        <v>-18337.64852352624</v>
      </c>
      <c r="C11" s="9" t="n">
        <v>14202.72140341307</v>
      </c>
      <c r="D11" s="9">
        <f>-B11-C11</f>
        <v/>
      </c>
    </row>
    <row r="12">
      <c r="A12" s="23" t="n">
        <v>46100</v>
      </c>
      <c r="B12" s="9" t="n">
        <v>-29513.0374117689</v>
      </c>
      <c r="C12" s="9" t="n">
        <v>15707.35419821726</v>
      </c>
      <c r="D12" s="9">
        <f>-B12-C12</f>
        <v/>
      </c>
    </row>
    <row r="13">
      <c r="A13" s="23" t="n">
        <v>46104</v>
      </c>
      <c r="B13" s="9" t="n">
        <v>-21118.91029829016</v>
      </c>
      <c r="C13" s="9" t="n">
        <v>16858.21161515457</v>
      </c>
      <c r="D13" s="9">
        <f>-B13-C13</f>
        <v/>
      </c>
    </row>
    <row r="14">
      <c r="A14" s="23" t="n">
        <v>46108</v>
      </c>
      <c r="B14" s="9" t="n">
        <v>-18586.9498773028</v>
      </c>
      <c r="C14" s="9" t="n">
        <v>18365.46114127387</v>
      </c>
      <c r="D14" s="9">
        <f>-B14-C14</f>
        <v/>
      </c>
    </row>
    <row r="15">
      <c r="A15" s="23" t="n">
        <v>46192</v>
      </c>
      <c r="B15" s="9" t="n">
        <v>-18628.65118814964</v>
      </c>
      <c r="C15" s="9" t="n">
        <v>18340.14153706401</v>
      </c>
      <c r="D15" s="9">
        <f>-B15-C15</f>
        <v/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2026-10-04T06:42:40Z</dcterms:created>
  <dcterms:modified xmlns:dcterms="http://purl.org/dc/terms/" xmlns:xsi="http://www.w3.org/2001/XMLSchema-instance" xsi:type="dcterms:W3CDTF">2026-10-04T06:42:40Z</dcterms:modified>
</cp:coreProperties>
</file>